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aura Karrer\Documents\THESIS\APPENDIX FINALE\"/>
    </mc:Choice>
  </mc:AlternateContent>
  <xr:revisionPtr revIDLastSave="0" documentId="8_{C6EFBAF2-ADEC-43B5-B545-908AB82824FE}" xr6:coauthVersionLast="47" xr6:coauthVersionMax="47" xr10:uidLastSave="{00000000-0000-0000-0000-000000000000}"/>
  <bookViews>
    <workbookView xWindow="-110" yWindow="-110" windowWidth="19420" windowHeight="10420" xr2:uid="{E534C0F3-7EA2-4DFE-85F7-B065417F347C}"/>
  </bookViews>
  <sheets>
    <sheet name="Feuil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 l="1"/>
  <c r="O7" i="1"/>
  <c r="O6" i="1"/>
  <c r="O5" i="1"/>
  <c r="O4" i="1"/>
  <c r="O3" i="1"/>
  <c r="O10" i="1" s="1"/>
</calcChain>
</file>

<file path=xl/sharedStrings.xml><?xml version="1.0" encoding="utf-8"?>
<sst xmlns="http://schemas.openxmlformats.org/spreadsheetml/2006/main" count="374" uniqueCount="366">
  <si>
    <t>Conclusive quantifications 4.1.4</t>
  </si>
  <si>
    <t>Keyword</t>
  </si>
  <si>
    <t>Global objectives</t>
  </si>
  <si>
    <t>objectives</t>
  </si>
  <si>
    <t xml:space="preserve">measures that can be associated to SDS 2030 measures </t>
  </si>
  <si>
    <t xml:space="preserve">measures </t>
  </si>
  <si>
    <t>more than 1 association per measure is denoted with *</t>
  </si>
  <si>
    <t xml:space="preserve">measurable goals </t>
  </si>
  <si>
    <t>intermediary fit association are denoted with °</t>
  </si>
  <si>
    <t>intermediate fit</t>
  </si>
  <si>
    <t>Reduce</t>
  </si>
  <si>
    <t>Commoning</t>
  </si>
  <si>
    <t xml:space="preserve">Decolonization </t>
  </si>
  <si>
    <t>Sufficiency</t>
  </si>
  <si>
    <t>Social  Justice</t>
  </si>
  <si>
    <t>Alternative metrics</t>
  </si>
  <si>
    <t>Direct democracy</t>
  </si>
  <si>
    <t xml:space="preserve">Conviviality </t>
  </si>
  <si>
    <t>Sustainable agriculture</t>
  </si>
  <si>
    <t xml:space="preserve">Reconceptualize &amp; Redistribute </t>
  </si>
  <si>
    <t>Circularity</t>
  </si>
  <si>
    <t>Decommodification</t>
  </si>
  <si>
    <t xml:space="preserve">Reduce Waste </t>
  </si>
  <si>
    <t>reclaim the commons</t>
  </si>
  <si>
    <t>Decolonization of social imagery</t>
  </si>
  <si>
    <t>Self-limitation</t>
  </si>
  <si>
    <t>Tax justice for social ecological justice</t>
  </si>
  <si>
    <t>Abandon GDP and adopt an array of social ecological indicators</t>
  </si>
  <si>
    <t>Radical ecological democracy</t>
  </si>
  <si>
    <t>Promote convivial technology</t>
  </si>
  <si>
    <t>Sustainable farming</t>
  </si>
  <si>
    <t>Redistribute (re) productive activities</t>
  </si>
  <si>
    <t>Material transactions with nature</t>
  </si>
  <si>
    <t>Restrict the commodification of property</t>
  </si>
  <si>
    <t>End planned obsolescence</t>
  </si>
  <si>
    <t xml:space="preserve">Local </t>
  </si>
  <si>
    <t>Restore indigenous and local knowledge</t>
  </si>
  <si>
    <t>Voluntary Simplicity</t>
  </si>
  <si>
    <t>Capital gains and capital acquisition taxes</t>
  </si>
  <si>
    <t>Decentralise decision-making</t>
  </si>
  <si>
    <t>Encourage technological (re) appropriation</t>
  </si>
  <si>
    <t>Promote small-scale farming</t>
  </si>
  <si>
    <t>Fund pensions according to unpaid care work contributions</t>
  </si>
  <si>
    <t xml:space="preserve">Producing for needs </t>
  </si>
  <si>
    <t>Progressive property tax</t>
  </si>
  <si>
    <t>Mandate environmental impact assessments</t>
  </si>
  <si>
    <t>Giveaway shops, repair cafesrent-for-free store</t>
  </si>
  <si>
    <t>Oppose English-language imperialism</t>
  </si>
  <si>
    <t>right to simplicity</t>
  </si>
  <si>
    <t>Financial transaction tax (e.g. EU Commission considering € 10 per € 10,000 transaction)</t>
  </si>
  <si>
    <t>Hold regular deliberative forums</t>
  </si>
  <si>
    <t>Repurpose military facilities to produce socially useful and ecologically sensitive goods</t>
  </si>
  <si>
    <t>Intensive community, home, and urban gardening</t>
  </si>
  <si>
    <t xml:space="preserve"> Incentivise men to equitably share care work</t>
  </si>
  <si>
    <t>Reducing wastes</t>
  </si>
  <si>
    <t>Maximum quota for floor area per capita</t>
  </si>
  <si>
    <t>Life cycle assessments of all goods and services</t>
  </si>
  <si>
    <t>gift shop</t>
  </si>
  <si>
    <t>Learn to speak multiple languages</t>
  </si>
  <si>
    <t>conception of minimalism</t>
  </si>
  <si>
    <t>Abolish tax havens and financial secrecy)</t>
  </si>
  <si>
    <t>economic democracy</t>
  </si>
  <si>
    <t>Create digital commons (e.g. copyleft, Creative Commons, Cybersyn, Wikipedia, etc)</t>
  </si>
  <si>
    <t>permaculture streets</t>
  </si>
  <si>
    <t>Expand community volunteering</t>
  </si>
  <si>
    <t>Localisation</t>
  </si>
  <si>
    <t xml:space="preserve"> Incentivise against empty dwellings (e.g. tax)</t>
  </si>
  <si>
    <t>Progressive unit pricing schemes in waste management</t>
  </si>
  <si>
    <t>community gardens</t>
  </si>
  <si>
    <t>Redistribute land, capital and resources between countries</t>
  </si>
  <si>
    <t xml:space="preserve">anti-accumulation </t>
  </si>
  <si>
    <t>Unitary tax on the profits of transnational firms to restrict tax dumping</t>
  </si>
  <si>
    <t>participatory budgeting</t>
  </si>
  <si>
    <t xml:space="preserve"> Creative Commons, Cybersyn, Wikipedia, etc); </t>
  </si>
  <si>
    <t xml:space="preserve"> local food shops and coops</t>
  </si>
  <si>
    <t>Reconceptualise work</t>
  </si>
  <si>
    <t>Natural and recovered materials</t>
  </si>
  <si>
    <t>Rent caps and controls</t>
  </si>
  <si>
    <t>Mandatory recyclability</t>
  </si>
  <si>
    <t>community supported agriculture (CSA)</t>
  </si>
  <si>
    <t>Reparations for ecological debt</t>
  </si>
  <si>
    <t xml:space="preserve">Reduce conspicuous consumption  </t>
  </si>
  <si>
    <t>Global standard for international tax and investment policies could be used to curb tax avoidance</t>
  </si>
  <si>
    <t>voluntary work parties (eg. voluntary committees, working bees and local town meetings)</t>
  </si>
  <si>
    <t>Limit the use of ICT, digital devices and professional services (e.g. self-tracking)</t>
  </si>
  <si>
    <t>direct sales shops</t>
  </si>
  <si>
    <t>Reduce time in paid waged labour</t>
  </si>
  <si>
    <t>Designs for durability/extending the product (and materials’) lifetim</t>
  </si>
  <si>
    <t xml:space="preserve"> Revitalization and/or (temporary) utilisation of vacant buildings (e.g. permaculture on vacant land)</t>
  </si>
  <si>
    <t>Mandatory long-term warranties</t>
  </si>
  <si>
    <t xml:space="preserve"> tool librarie</t>
  </si>
  <si>
    <t>Land reform</t>
  </si>
  <si>
    <t>Promote shared, sufficiency consumption</t>
  </si>
  <si>
    <t>Financial disobedience; Debt jubilees</t>
  </si>
  <si>
    <t>multi-level confederational direct democracy</t>
  </si>
  <si>
    <t>Re-structure social media from privately owned in hierarchical power relations to a common or public good</t>
  </si>
  <si>
    <t>regional fishing quotas based on national scope</t>
  </si>
  <si>
    <t>Work-time reduction policy (options include: 21-h working week</t>
  </si>
  <si>
    <t>Social interactions with others</t>
  </si>
  <si>
    <t xml:space="preserve"> Adequate and affordable housing for all</t>
  </si>
  <si>
    <t>Guarantee the right to repair°</t>
  </si>
  <si>
    <t xml:space="preserve"> open workshops</t>
  </si>
  <si>
    <t>Restore stolen land to its indigenous caretakers to conciliation</t>
  </si>
  <si>
    <t>Promote frugal downshifted lifestyles</t>
  </si>
  <si>
    <t>Low unemployment</t>
  </si>
  <si>
    <t>local direct  democracy</t>
  </si>
  <si>
    <t>Open-source drug networks</t>
  </si>
  <si>
    <t>recovery of small-agrarian land</t>
  </si>
  <si>
    <t>21 or 30 h weeks, 5 × 6hr working days,</t>
  </si>
  <si>
    <t>Deepening connection with customers</t>
  </si>
  <si>
    <t>Establish land banks</t>
  </si>
  <si>
    <t>at repair cafes, tool libraries, open workshops, bike kitchens</t>
  </si>
  <si>
    <t>citizen selfhelp groups; barter clubs; farmers markets</t>
  </si>
  <si>
    <t xml:space="preserve">Prioritise small, highly self- sufficient communities </t>
  </si>
  <si>
    <t>Job guarantee (with living wage)</t>
  </si>
  <si>
    <t>participatory democracy</t>
  </si>
  <si>
    <t>Reassess the role of technology</t>
  </si>
  <si>
    <t>Restore peasant agroecology*</t>
  </si>
  <si>
    <t>ban work 21-06 unless vital for economy,</t>
  </si>
  <si>
    <t>Deepening connections with fellow businesspersons</t>
  </si>
  <si>
    <t xml:space="preserve"> Limit the scope of property domain (i. e. title and debt creation ability)</t>
  </si>
  <si>
    <t>Mandate ecological footprint labelling</t>
  </si>
  <si>
    <t xml:space="preserve">bike kitchens </t>
  </si>
  <si>
    <t xml:space="preserve">Heating and cooling - </t>
  </si>
  <si>
    <t>Aimed at care work, habitat restoration, and community services</t>
  </si>
  <si>
    <t>small-scale self-organisation with networks of collective</t>
  </si>
  <si>
    <t xml:space="preserve">Stringent criteria for the deployment of any climate engineering (e.g. solar radiation modification, NETs, NBS, etc), </t>
  </si>
  <si>
    <t>Permaculture</t>
  </si>
  <si>
    <t>10–20 h weeks,</t>
  </si>
  <si>
    <t>Deepening connections with activists, researchers, local governments</t>
  </si>
  <si>
    <t xml:space="preserve"> Public control of developable land releases</t>
  </si>
  <si>
    <t>Reduce environmental pressures</t>
  </si>
  <si>
    <t>cooperatives; community land trusts</t>
  </si>
  <si>
    <t>Extra insulation; invest in efficient appliances (e.g. small fridge, esky, solar panels, electrify all gas)</t>
  </si>
  <si>
    <t>Environmental community development workers (previously unemployed and/or young people trained to address sustainability issues in their own communities)</t>
  </si>
  <si>
    <t xml:space="preserve">citizen-initiated referendums; </t>
  </si>
  <si>
    <t>ban if strict social-ecological criteria not met (i.e. sulphate aerosol deployment</t>
  </si>
  <si>
    <t>Institutionalise artisanal, subsistence organic farming</t>
  </si>
  <si>
    <t>4hr work days</t>
  </si>
  <si>
    <t>Collective learning about sustainability</t>
  </si>
  <si>
    <t>Limits to private property</t>
  </si>
  <si>
    <t>Diminishing caps on resource use, emissions and pollution**</t>
  </si>
  <si>
    <t xml:space="preserve">community land trusts; volunteer community working bees; </t>
  </si>
  <si>
    <t>close gaps around doors and windows, plant west-facing grapevine for cooling</t>
  </si>
  <si>
    <t>Eradicate Poverty</t>
  </si>
  <si>
    <t>democratic experimentalism</t>
  </si>
  <si>
    <t>bio-energy with carbon capture and storage)</t>
  </si>
  <si>
    <t>Sustainable diets</t>
  </si>
  <si>
    <t xml:space="preserve">Fridays off, </t>
  </si>
  <si>
    <t>Social structure</t>
  </si>
  <si>
    <t>Redefine and redistribute property rights to all</t>
  </si>
  <si>
    <t>Social Justice</t>
  </si>
  <si>
    <t>Limit the input of raw materials to production</t>
  </si>
  <si>
    <t xml:space="preserve">Regional </t>
  </si>
  <si>
    <t>install thick curtains, dress appropriately</t>
  </si>
  <si>
    <t>Guarantee the universal provisioning of fundamental human needs</t>
  </si>
  <si>
    <t>scrap representative democracy</t>
  </si>
  <si>
    <t>Only allow afforestation under specific conditions</t>
  </si>
  <si>
    <t>Normalise the slow food philosophy</t>
  </si>
  <si>
    <t>20–30 h week</t>
  </si>
  <si>
    <t xml:space="preserve">Shaping political-economic conditions </t>
  </si>
  <si>
    <t>Reconceptualize &amp; redistribute</t>
  </si>
  <si>
    <t>restrict the end-use consumption of energy and resources;</t>
  </si>
  <si>
    <t>Community  land trusts</t>
  </si>
  <si>
    <t>Energy</t>
  </si>
  <si>
    <t>Universal basic income (e.g. transition income, unconditional basic income, unconditional minimum income, basic income, citizens income, unconditional autonomy allowance)</t>
  </si>
  <si>
    <t>Local democratic ownership of public services and resource</t>
  </si>
  <si>
    <t>Ethos of releasement (i. e. of technological practice)</t>
  </si>
  <si>
    <t>Reduce meat and dairy consumption</t>
  </si>
  <si>
    <t>1–2 days per week for money</t>
  </si>
  <si>
    <t>Engaging in formal and informal networks spanning private and public sectors</t>
  </si>
  <si>
    <t>multi-scalar cap where individual and municipal caps are deduced from the national and global maximum (based on per capita ecological footprint</t>
  </si>
  <si>
    <t>Regional CSA</t>
  </si>
  <si>
    <t>Instal solar panels; small biogas digester;</t>
  </si>
  <si>
    <t>Equitable access to physical, mental, and social healthcare</t>
  </si>
  <si>
    <t>Public investment and asset ownership in the energy sector</t>
  </si>
  <si>
    <t>Oppose speculative negative emission technologies</t>
  </si>
  <si>
    <t>Eat local, seasonal food</t>
  </si>
  <si>
    <t>reduce from 35 to 30 hrs/wk within 5 years)</t>
  </si>
  <si>
    <t>absolute caps on the amount of resources embedded in imported goods and services</t>
  </si>
  <si>
    <t xml:space="preserve">Common and sharing facilities </t>
  </si>
  <si>
    <t>Promote renewable energy</t>
  </si>
  <si>
    <r>
      <t xml:space="preserve">Universal provision of basic public services (e.g. electricity, </t>
    </r>
    <r>
      <rPr>
        <sz val="11"/>
        <color rgb="FFFF0000"/>
        <rFont val="Aptos Narrow"/>
        <family val="2"/>
        <scheme val="minor"/>
      </rPr>
      <t>housing</t>
    </r>
    <r>
      <rPr>
        <sz val="11"/>
        <color theme="1"/>
        <rFont val="Aptos Narrow"/>
        <family val="2"/>
        <scheme val="minor"/>
      </rPr>
      <t xml:space="preserve">, public infrastructure, </t>
    </r>
    <r>
      <rPr>
        <sz val="11"/>
        <color rgb="FFFF0000"/>
        <rFont val="Aptos Narrow"/>
        <family val="2"/>
        <scheme val="minor"/>
      </rPr>
      <t>state services</t>
    </r>
    <r>
      <rPr>
        <sz val="11"/>
        <color theme="1"/>
        <rFont val="Aptos Narrow"/>
        <family val="2"/>
        <scheme val="minor"/>
      </rPr>
      <t>, free consumption goods)</t>
    </r>
  </si>
  <si>
    <t>Energy democracy</t>
  </si>
  <si>
    <t xml:space="preserve"> bioenergy carbon capture and storage (BECCS)</t>
  </si>
  <si>
    <t>Promote plant-based diets;</t>
  </si>
  <si>
    <t>gender-sensitive job sharing</t>
  </si>
  <si>
    <t>personal energy quotas</t>
  </si>
  <si>
    <t xml:space="preserve">shared cars, tools  </t>
  </si>
  <si>
    <t>Food</t>
  </si>
  <si>
    <t>Universal basic vouchers (e.g. quasi-currency vouchers, commons- innovation vouchers, shift vouchers, needs vouchers)</t>
  </si>
  <si>
    <t>Ensure convivial, community- owned renewable systems</t>
  </si>
  <si>
    <t>Introduce organic food in public institutions (e.g. aged care, hospitals, kindergar</t>
  </si>
  <si>
    <t>workplace democracy</t>
  </si>
  <si>
    <t>global democratic “cap and share” program</t>
  </si>
  <si>
    <t>community spaces</t>
  </si>
  <si>
    <t>Edible landscapes and food forests; solar oven; guerilla gardening; low meat diet;</t>
  </si>
  <si>
    <t>Transform private to public pension systems</t>
  </si>
  <si>
    <t xml:space="preserve">Build off-grid systems </t>
  </si>
  <si>
    <t>Reform agricultural and consumer education</t>
  </si>
  <si>
    <t>increase holidays</t>
  </si>
  <si>
    <t>Decolonization</t>
  </si>
  <si>
    <t>Overshoot nations to reduce their biophysical footprint by on average 40–50%</t>
  </si>
  <si>
    <t>food gardens</t>
  </si>
  <si>
    <t>Water</t>
  </si>
  <si>
    <t>Doctors trained in natural medicine and environmental effects on health</t>
  </si>
  <si>
    <t>Oppose large-scale renewable systems</t>
  </si>
  <si>
    <t>Farm visits; outreach, literature; practical courses</t>
  </si>
  <si>
    <t>increase maternity and paternity leave</t>
  </si>
  <si>
    <t>Conviviality</t>
  </si>
  <si>
    <t>Reduce ecological footprint to less than 1, or 1960–70s levels</t>
  </si>
  <si>
    <t xml:space="preserve"> kitchen, cooking, leisure</t>
  </si>
  <si>
    <t>Solar shower bags; electric heat pump; washing lines and handwashing; rainwater harvesting</t>
  </si>
  <si>
    <t>Transformative justice</t>
  </si>
  <si>
    <t>Financial democracy</t>
  </si>
  <si>
    <t>Food sovereignity</t>
  </si>
  <si>
    <t>increase sick leave</t>
  </si>
  <si>
    <t>75–90% reduction in ecological impacts in the wealthiest regions of the world</t>
  </si>
  <si>
    <t>free or low- cost provision of safe</t>
  </si>
  <si>
    <t>reclaimed water reuse</t>
  </si>
  <si>
    <t>Promote alternatives to incarceration (e.g. rehabilitation and social programs)</t>
  </si>
  <si>
    <t>Democratise and decentralise money</t>
  </si>
  <si>
    <t>Develop networks and cooperative</t>
  </si>
  <si>
    <t>establish pre-retirement transitions</t>
  </si>
  <si>
    <t>Ecological tax reform</t>
  </si>
  <si>
    <t>low-energy kitchen equipment,</t>
  </si>
  <si>
    <t>Waste</t>
  </si>
  <si>
    <t>Oppose all forms of racism (i.e. be anti-racist); Implement restorative justice measures</t>
  </si>
  <si>
    <t>Nationlise banks for social and ecological purposes</t>
  </si>
  <si>
    <t>Mandate state institutions to procure a proportion of their food from local sources</t>
  </si>
  <si>
    <t>Reallocate productivity gains into working less (and job creation</t>
  </si>
  <si>
    <t>Extraction tax</t>
  </si>
  <si>
    <t>neighbourhood sharing facilities</t>
  </si>
  <si>
    <t>Return ALL human, animal, food and farm scraps to soil via composting</t>
  </si>
  <si>
    <t>Dismantle colonialism and its structures</t>
  </si>
  <si>
    <t>Dismantle and decentralise banking and f inancial institutions</t>
  </si>
  <si>
    <t xml:space="preserve"> short agricultural supply chain</t>
  </si>
  <si>
    <t>Rights to part-time</t>
  </si>
  <si>
    <t>carbon tax (e.g. rising to $550/ tonne in Canada</t>
  </si>
  <si>
    <t>Promote shared housing</t>
  </si>
  <si>
    <t>Transport</t>
  </si>
  <si>
    <t>Free access to legal services for all</t>
  </si>
  <si>
    <t>Institutionalise full reserve banking;</t>
  </si>
  <si>
    <t>Reduce VAT and other tax exemptions for activities such as home-delivered organic produce parcels</t>
  </si>
  <si>
    <t>Legal facilitation of “short week” transition programs and/or legislation</t>
  </si>
  <si>
    <t>natural capital depletion tax; divest from unethical industries (e.g. fossil fuels, petrochemicals, nuclear, mining, arms, human rights abuses, etc)</t>
  </si>
  <si>
    <t>Eco-villages</t>
  </si>
  <si>
    <t>Active transport (e-bikes, cycling, walking); convert roads for active transport only; Building using earth</t>
  </si>
  <si>
    <t xml:space="preserve"> Redefine the principles of discrimination and equality embedded in human rights law</t>
  </si>
  <si>
    <t>Encourage fiscal disobedience</t>
  </si>
  <si>
    <t>bio-fairs</t>
  </si>
  <si>
    <t>Self-defined work</t>
  </si>
  <si>
    <t>Moratoria on resource extraction and big infrastructure</t>
  </si>
  <si>
    <t xml:space="preserve"> Eco-communes</t>
  </si>
  <si>
    <t>Progressive tariff structure for water and electricity; Promote solidarity based exchanges and networks</t>
  </si>
  <si>
    <t>Reduce Inequality</t>
  </si>
  <si>
    <t>Carry out regular debt auditing</t>
  </si>
  <si>
    <t>consumer cooperatives</t>
  </si>
  <si>
    <t>fossil fuels, nuclear, biomass, incinerators, dams, highways, airports, mining, high-speed trains, roads, space tourism</t>
  </si>
  <si>
    <t xml:space="preserve">Cohousing and housing cooperatives; </t>
  </si>
  <si>
    <t>Teach and practice permaculture principles</t>
  </si>
  <si>
    <t>Redistribute capital  within countries</t>
  </si>
  <si>
    <t>Create an independent authority to oversee public money creation;</t>
  </si>
  <si>
    <t>label and tax food miles</t>
  </si>
  <si>
    <t>Reduce chemical production and use</t>
  </si>
  <si>
    <t>Transition towns</t>
  </si>
  <si>
    <t>Maximum income cap</t>
  </si>
  <si>
    <t>Progressive tax on profit and capital accumulation from all sources</t>
  </si>
  <si>
    <t>food self- provisioning</t>
  </si>
  <si>
    <t>Squatting</t>
  </si>
  <si>
    <t>Highly progressive income tax</t>
  </si>
  <si>
    <t>Ban fractional reserve</t>
  </si>
  <si>
    <t>community-supported agriculture</t>
  </si>
  <si>
    <t>Reduce industrial fishing activities</t>
  </si>
  <si>
    <t>Urban villages</t>
  </si>
  <si>
    <t xml:space="preserve">Minimum living wage </t>
  </si>
  <si>
    <t>Ban interest on loans;</t>
  </si>
  <si>
    <t xml:space="preserve">Rebuild soil fertility  </t>
  </si>
  <si>
    <t>Multigenerational housing</t>
  </si>
  <si>
    <t>maximum wealth cap</t>
  </si>
  <si>
    <t>Avoid market mechanisms</t>
  </si>
  <si>
    <t>Networks of manure storage facilities</t>
  </si>
  <si>
    <t xml:space="preserve">Oppose speculative negative emission technologies </t>
  </si>
  <si>
    <t>Neo- monasticism</t>
  </si>
  <si>
    <t>Global minimum corporate tax</t>
  </si>
  <si>
    <t>Active role of public for providing loans and subsidies to community-owned enterprises</t>
  </si>
  <si>
    <t>local organic matter banks</t>
  </si>
  <si>
    <t>For example - bioenergy carbon capture and storage (BECCS)</t>
  </si>
  <si>
    <t xml:space="preserve">tiny housing  </t>
  </si>
  <si>
    <t>Debt free public money</t>
  </si>
  <si>
    <t>Promote Seed sharing</t>
  </si>
  <si>
    <t>Stop fossil fuels</t>
  </si>
  <si>
    <t>demonetisation/decommodification</t>
  </si>
  <si>
    <t>A three-tiered seed-saving system consisting of households, community seed centres and regional seed-preservation centres; seed sharing festivals; seed banks</t>
  </si>
  <si>
    <t>Diminishing annual global cap and share-based program based on historical responsibility</t>
  </si>
  <si>
    <t>Democratic not-for- profit models</t>
  </si>
  <si>
    <t>Land redistribution to peasants and/or landless</t>
  </si>
  <si>
    <t>Resource-extraction licences based on area, time and volume</t>
  </si>
  <si>
    <t>Not-for-profit cooperatives</t>
  </si>
  <si>
    <t>Promote returning back-to-the-land</t>
  </si>
  <si>
    <t>create Global Climate Trust</t>
  </si>
  <si>
    <t>Institutionalise not-for-profit as the standard</t>
  </si>
  <si>
    <t xml:space="preserve">Phase-out chemical pesticides, fertilisers,and GMOs </t>
  </si>
  <si>
    <t>create Carbon Maintenance Fee</t>
  </si>
  <si>
    <t>Tax incentives for cooperatives</t>
  </si>
  <si>
    <t>Restore and preserve biodiversity ***</t>
  </si>
  <si>
    <t>create the Hardship Fund</t>
  </si>
  <si>
    <t>Preference to obtain public sector contracts</t>
  </si>
  <si>
    <t>Legislate the rights of nature</t>
  </si>
  <si>
    <t>; tradable energy quotas (shared on equitable per capita basis)</t>
  </si>
  <si>
    <t>Rule of ecological law</t>
  </si>
  <si>
    <t>Reduce fossil fuel emissions by 80–100% by 2050 (~6% per year)**</t>
  </si>
  <si>
    <t>Strong regulation to stop the commercialization of living organisms and public goods, from patenting of biodiversity and genes to speculation on harves, ecosystem services and on the life expectancy and death of people</t>
  </si>
  <si>
    <t>Reduce to safely below biosphere’s carrying capacity</t>
  </si>
  <si>
    <t>Transition Practises Incentives (degrowth 
version of PES</t>
  </si>
  <si>
    <t>Abolish fossil fuel subsidies**</t>
  </si>
  <si>
    <t>Coherent national network of marine protected areas</t>
  </si>
  <si>
    <t>Limit the price paid to fossil fuel producers</t>
  </si>
  <si>
    <t>Create resource sanctuaries</t>
  </si>
  <si>
    <t>Phase-out existing fossil fuels</t>
  </si>
  <si>
    <t>Ecological reserves and botanical gardens</t>
  </si>
  <si>
    <t>Begin with hyper-polluting power plants</t>
  </si>
  <si>
    <t>reforestation projects conservation farms and biological reproduction</t>
  </si>
  <si>
    <t>phase out cheap energy to ‘enclave’ smelters and use energy to distribute universal free basic electricity to consumers</t>
  </si>
  <si>
    <t>memorials for the preservation of knowledge</t>
  </si>
  <si>
    <t>Reduce energy demand and use**</t>
  </si>
  <si>
    <t>languages and techniques</t>
  </si>
  <si>
    <t>Tax industrial energy consumption</t>
  </si>
  <si>
    <t>Reduce energy consumption and waste by a factor of 4 (Negawatt scenario)°</t>
  </si>
  <si>
    <t>Decrease total primary energy supply (TPES) by ~10% on 2015 levels</t>
  </si>
  <si>
    <t>Global North will reduce energy consumption by 70% between 2010 and 2050 (3%/yr)</t>
  </si>
  <si>
    <t>Share TPES equitably</t>
  </si>
  <si>
    <t>Regulate advertising</t>
  </si>
  <si>
    <t>Limit advertising in public spaces</t>
  </si>
  <si>
    <t>Public control of advertising and media</t>
  </si>
  <si>
    <t>Resource-intensive leisure consumption (e.g. long-distance vacations)</t>
  </si>
  <si>
    <t>Eliminate tax write offs for advertising</t>
  </si>
  <si>
    <t>Restrict adverts to fundamental human needs and self- realisation only</t>
  </si>
  <si>
    <t>Mortgages and large houses Billboards;</t>
  </si>
  <si>
    <t>Advertising of children’s toys or fossil fuels</t>
  </si>
  <si>
    <t>Ban advertising</t>
  </si>
  <si>
    <t>Tax advertising</t>
  </si>
  <si>
    <t>Tax unhealthy and unsustainable products (e.g. junk food, fossil fuels, automobiles, aviation, etc)</t>
  </si>
  <si>
    <t>Reduce fossil and motorised mobility</t>
  </si>
  <si>
    <t>Limit automobiles at city level and within households</t>
  </si>
  <si>
    <t>Convert suburban roads to commons</t>
  </si>
  <si>
    <t>Introduce environmental taxes;</t>
  </si>
  <si>
    <t>Reduce urban speed limits</t>
  </si>
  <si>
    <t>Reduce parking space availability</t>
  </si>
  <si>
    <t>Close roads to cars in city centres</t>
  </si>
  <si>
    <t>Halt motorway and road expansion</t>
  </si>
  <si>
    <t>Emphasise accessibility over vehicular mobilit</t>
  </si>
  <si>
    <t>Reduce traffic volume, consumption and use of cars and planes</t>
  </si>
  <si>
    <t>Subsidise or tax relief to encourage citizens to live close to workplaces in order to reduce travel demand for commuting</t>
  </si>
  <si>
    <t>Restricted car ownership (e.g. a lottery system for new car licence plates, congestion charging, limited driving days for cars)</t>
  </si>
  <si>
    <t>Promote the substitution of short car trips (&lt;5 km) with walking and cycling</t>
  </si>
  <si>
    <t>Incentivise electric bikes to replace cars</t>
  </si>
  <si>
    <t>Impose heavy tax increases on private transport</t>
  </si>
  <si>
    <t>Nationalise to phase-out fossil companies</t>
  </si>
  <si>
    <t>Socially useful production</t>
  </si>
  <si>
    <t>Worker-owned production systems</t>
  </si>
  <si>
    <t>Dismantle large corporations</t>
  </si>
  <si>
    <t>scaling down most socio- ecologically destructive sectors (e.g. the production of SUVs, arms, beef, private transportation, advertising and planned obsolescence)</t>
  </si>
  <si>
    <t>End food waste</t>
  </si>
  <si>
    <t xml:space="preserve">laws preventing supermarket to waste food </t>
  </si>
  <si>
    <t xml:space="preserve"> Qualitative analysis Degrowth concepts 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</si>
</sst>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11"/>
      <name val="Aptos Narrow"/>
      <family val="2"/>
      <scheme val="minor"/>
    </font>
    <font>
      <strike/>
      <sz val="11"/>
      <color theme="1"/>
      <name val="Aptos Narrow"/>
      <family val="2"/>
      <scheme val="minor"/>
    </font>
    <font>
      <sz val="12"/>
      <color theme="1"/>
      <name val="Aptos"/>
      <family val="2"/>
    </font>
  </fonts>
  <fills count="8">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3" fillId="0" borderId="0" xfId="0" applyFont="1"/>
    <xf numFmtId="0" fontId="0" fillId="5" borderId="0" xfId="0" applyFill="1"/>
    <xf numFmtId="0" fontId="0" fillId="6" borderId="0" xfId="0" applyFill="1"/>
    <xf numFmtId="0" fontId="0" fillId="7" borderId="0" xfId="0" applyFill="1"/>
    <xf numFmtId="0" fontId="0" fillId="4" borderId="0" xfId="0" applyFill="1" applyAlignment="1">
      <alignment wrapText="1"/>
    </xf>
    <xf numFmtId="0" fontId="1" fillId="4" borderId="0" xfId="0" applyFont="1" applyFill="1"/>
    <xf numFmtId="0" fontId="4" fillId="4" borderId="0" xfId="0" applyFont="1" applyFill="1"/>
    <xf numFmtId="0" fontId="1" fillId="5" borderId="0" xfId="0" applyFont="1" applyFill="1"/>
    <xf numFmtId="0" fontId="1" fillId="3" borderId="0" xfId="0" applyFont="1" applyFill="1"/>
    <xf numFmtId="0" fontId="4" fillId="5" borderId="0" xfId="0" applyFont="1" applyFill="1"/>
    <xf numFmtId="0" fontId="5" fillId="0" borderId="0" xfId="0" applyFont="1"/>
    <xf numFmtId="0" fontId="1" fillId="0" borderId="0" xfId="0" applyFont="1"/>
    <xf numFmtId="0" fontId="0" fillId="5" borderId="0" xfId="0" applyFill="1" applyAlignment="1">
      <alignment wrapText="1"/>
    </xf>
    <xf numFmtId="0" fontId="6" fillId="4" borderId="0" xfId="0" applyFont="1" applyFill="1"/>
    <xf numFmtId="0" fontId="4" fillId="3" borderId="0" xfId="0" applyFont="1" applyFill="1"/>
    <xf numFmtId="0" fontId="1" fillId="6" borderId="0" xfId="0" applyFont="1" applyFill="1"/>
    <xf numFmtId="0" fontId="0" fillId="0" borderId="0" xfId="0"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Types</a:t>
            </a:r>
            <a:r>
              <a:rPr lang="fr-FR" baseline="0"/>
              <a:t> of references to degrowth concepts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FA7-484C-B411-E0272E6129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FA7-484C-B411-E0272E6129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FA7-484C-B411-E0272E61293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FA7-484C-B411-E0272E61293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FA7-484C-B411-E0272E61293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FA7-484C-B411-E0272E612936}"/>
              </c:ext>
            </c:extLst>
          </c:dPt>
          <c:cat>
            <c:strRef>
              <c:f>[1]mapping!$P$2:$P$7</c:f>
              <c:strCache>
                <c:ptCount val="6"/>
                <c:pt idx="0">
                  <c:v>Keyword</c:v>
                </c:pt>
                <c:pt idx="1">
                  <c:v>Global objectives</c:v>
                </c:pt>
                <c:pt idx="2">
                  <c:v>objectives</c:v>
                </c:pt>
                <c:pt idx="3">
                  <c:v>measures </c:v>
                </c:pt>
                <c:pt idx="4">
                  <c:v>measurable goals </c:v>
                </c:pt>
                <c:pt idx="5">
                  <c:v>intermediate fit</c:v>
                </c:pt>
              </c:strCache>
            </c:strRef>
          </c:cat>
          <c:val>
            <c:numRef>
              <c:f>[1]mapping!$Q$2:$Q$7</c:f>
              <c:numCache>
                <c:formatCode>General</c:formatCode>
                <c:ptCount val="6"/>
                <c:pt idx="0">
                  <c:v>10</c:v>
                </c:pt>
                <c:pt idx="1">
                  <c:v>5</c:v>
                </c:pt>
                <c:pt idx="2">
                  <c:v>12</c:v>
                </c:pt>
                <c:pt idx="3">
                  <c:v>14</c:v>
                </c:pt>
                <c:pt idx="4">
                  <c:v>2</c:v>
                </c:pt>
                <c:pt idx="5">
                  <c:v>2</c:v>
                </c:pt>
              </c:numCache>
            </c:numRef>
          </c:val>
          <c:extLst>
            <c:ext xmlns:c16="http://schemas.microsoft.com/office/drawing/2014/chart" uri="{C3380CC4-5D6E-409C-BE32-E72D297353CC}">
              <c16:uniqueId val="{0000000C-0FA7-484C-B411-E0272E612936}"/>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Degrowth</a:t>
            </a:r>
            <a:r>
              <a:rPr lang="fr-FR" baseline="0"/>
              <a:t> keywords</a:t>
            </a:r>
            <a:endParaRPr lang="fr-FR"/>
          </a:p>
        </c:rich>
      </c:tx>
      <c:layout>
        <c:manualLayout>
          <c:xMode val="edge"/>
          <c:yMode val="edge"/>
          <c:x val="0.27487023659490428"/>
          <c:y val="3.927381175845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5.2332922109187247E-2"/>
          <c:y val="0.13809945008600377"/>
          <c:w val="0.8186343087680289"/>
          <c:h val="0.50029244506650306"/>
        </c:manualLayout>
      </c:layout>
      <c:barChart>
        <c:barDir val="col"/>
        <c:grouping val="clustered"/>
        <c:varyColors val="0"/>
        <c:ser>
          <c:idx val="0"/>
          <c:order val="0"/>
          <c:tx>
            <c:strRef>
              <c:f>[1]mapping!$P$19</c:f>
              <c:strCache>
                <c:ptCount val="1"/>
                <c:pt idx="0">
                  <c:v>Reduce</c:v>
                </c:pt>
              </c:strCache>
            </c:strRef>
          </c:tx>
          <c:spPr>
            <a:solidFill>
              <a:schemeClr val="accent1"/>
            </a:solidFill>
            <a:ln>
              <a:noFill/>
            </a:ln>
            <a:effectLst/>
          </c:spPr>
          <c:invertIfNegative val="0"/>
          <c:val>
            <c:numRef>
              <c:f>[1]mapping!$Q$19</c:f>
              <c:numCache>
                <c:formatCode>General</c:formatCode>
                <c:ptCount val="1"/>
                <c:pt idx="0">
                  <c:v>15</c:v>
                </c:pt>
              </c:numCache>
            </c:numRef>
          </c:val>
          <c:extLst>
            <c:ext xmlns:c16="http://schemas.microsoft.com/office/drawing/2014/chart" uri="{C3380CC4-5D6E-409C-BE32-E72D297353CC}">
              <c16:uniqueId val="{00000000-5044-436D-AAB3-DB1302CEBBAC}"/>
            </c:ext>
          </c:extLst>
        </c:ser>
        <c:ser>
          <c:idx val="1"/>
          <c:order val="1"/>
          <c:tx>
            <c:strRef>
              <c:f>[1]mapping!$P$20</c:f>
              <c:strCache>
                <c:ptCount val="1"/>
                <c:pt idx="0">
                  <c:v>Sustainable agriculture</c:v>
                </c:pt>
              </c:strCache>
            </c:strRef>
          </c:tx>
          <c:spPr>
            <a:solidFill>
              <a:schemeClr val="accent2"/>
            </a:solidFill>
            <a:ln>
              <a:noFill/>
            </a:ln>
            <a:effectLst/>
          </c:spPr>
          <c:invertIfNegative val="0"/>
          <c:val>
            <c:numRef>
              <c:f>[1]mapping!$Q$20</c:f>
              <c:numCache>
                <c:formatCode>General</c:formatCode>
                <c:ptCount val="1"/>
                <c:pt idx="0">
                  <c:v>10</c:v>
                </c:pt>
              </c:numCache>
            </c:numRef>
          </c:val>
          <c:extLst>
            <c:ext xmlns:c16="http://schemas.microsoft.com/office/drawing/2014/chart" uri="{C3380CC4-5D6E-409C-BE32-E72D297353CC}">
              <c16:uniqueId val="{00000001-5044-436D-AAB3-DB1302CEBBAC}"/>
            </c:ext>
          </c:extLst>
        </c:ser>
        <c:ser>
          <c:idx val="2"/>
          <c:order val="2"/>
          <c:tx>
            <c:strRef>
              <c:f>[1]mapping!$P$21</c:f>
              <c:strCache>
                <c:ptCount val="1"/>
                <c:pt idx="0">
                  <c:v>Sufficiency</c:v>
                </c:pt>
              </c:strCache>
            </c:strRef>
          </c:tx>
          <c:spPr>
            <a:solidFill>
              <a:schemeClr val="accent3"/>
            </a:solidFill>
            <a:ln>
              <a:noFill/>
            </a:ln>
            <a:effectLst/>
          </c:spPr>
          <c:invertIfNegative val="0"/>
          <c:val>
            <c:numRef>
              <c:f>[1]mapping!$Q$21</c:f>
              <c:numCache>
                <c:formatCode>General</c:formatCode>
                <c:ptCount val="1"/>
                <c:pt idx="0">
                  <c:v>8</c:v>
                </c:pt>
              </c:numCache>
            </c:numRef>
          </c:val>
          <c:extLst>
            <c:ext xmlns:c16="http://schemas.microsoft.com/office/drawing/2014/chart" uri="{C3380CC4-5D6E-409C-BE32-E72D297353CC}">
              <c16:uniqueId val="{00000002-5044-436D-AAB3-DB1302CEBBAC}"/>
            </c:ext>
          </c:extLst>
        </c:ser>
        <c:ser>
          <c:idx val="3"/>
          <c:order val="3"/>
          <c:tx>
            <c:strRef>
              <c:f>[1]mapping!$P$22</c:f>
              <c:strCache>
                <c:ptCount val="1"/>
                <c:pt idx="0">
                  <c:v>Social Justice</c:v>
                </c:pt>
              </c:strCache>
            </c:strRef>
          </c:tx>
          <c:spPr>
            <a:solidFill>
              <a:schemeClr val="accent4"/>
            </a:solidFill>
            <a:ln>
              <a:noFill/>
            </a:ln>
            <a:effectLst/>
          </c:spPr>
          <c:invertIfNegative val="0"/>
          <c:val>
            <c:numRef>
              <c:f>[1]mapping!$Q$22</c:f>
              <c:numCache>
                <c:formatCode>General</c:formatCode>
                <c:ptCount val="1"/>
                <c:pt idx="0">
                  <c:v>5</c:v>
                </c:pt>
              </c:numCache>
            </c:numRef>
          </c:val>
          <c:extLst>
            <c:ext xmlns:c16="http://schemas.microsoft.com/office/drawing/2014/chart" uri="{C3380CC4-5D6E-409C-BE32-E72D297353CC}">
              <c16:uniqueId val="{00000003-5044-436D-AAB3-DB1302CEBBAC}"/>
            </c:ext>
          </c:extLst>
        </c:ser>
        <c:ser>
          <c:idx val="4"/>
          <c:order val="4"/>
          <c:tx>
            <c:strRef>
              <c:f>[1]mapping!$P$23</c:f>
              <c:strCache>
                <c:ptCount val="1"/>
                <c:pt idx="0">
                  <c:v>Reconceptualize &amp; redistribute</c:v>
                </c:pt>
              </c:strCache>
            </c:strRef>
          </c:tx>
          <c:spPr>
            <a:solidFill>
              <a:schemeClr val="accent5"/>
            </a:solidFill>
            <a:ln>
              <a:noFill/>
            </a:ln>
            <a:effectLst/>
          </c:spPr>
          <c:invertIfNegative val="0"/>
          <c:val>
            <c:numRef>
              <c:f>[1]mapping!$Q$23</c:f>
              <c:numCache>
                <c:formatCode>General</c:formatCode>
                <c:ptCount val="1"/>
                <c:pt idx="0">
                  <c:v>3</c:v>
                </c:pt>
              </c:numCache>
            </c:numRef>
          </c:val>
          <c:extLst>
            <c:ext xmlns:c16="http://schemas.microsoft.com/office/drawing/2014/chart" uri="{C3380CC4-5D6E-409C-BE32-E72D297353CC}">
              <c16:uniqueId val="{00000004-5044-436D-AAB3-DB1302CEBBAC}"/>
            </c:ext>
          </c:extLst>
        </c:ser>
        <c:ser>
          <c:idx val="5"/>
          <c:order val="5"/>
          <c:tx>
            <c:strRef>
              <c:f>[1]mapping!$P$24</c:f>
              <c:strCache>
                <c:ptCount val="1"/>
                <c:pt idx="0">
                  <c:v>Circularity</c:v>
                </c:pt>
              </c:strCache>
            </c:strRef>
          </c:tx>
          <c:spPr>
            <a:solidFill>
              <a:schemeClr val="accent6"/>
            </a:solidFill>
            <a:ln>
              <a:noFill/>
            </a:ln>
            <a:effectLst/>
          </c:spPr>
          <c:invertIfNegative val="0"/>
          <c:val>
            <c:numRef>
              <c:f>[1]mapping!$Q$24</c:f>
              <c:numCache>
                <c:formatCode>General</c:formatCode>
                <c:ptCount val="1"/>
                <c:pt idx="0">
                  <c:v>2</c:v>
                </c:pt>
              </c:numCache>
            </c:numRef>
          </c:val>
          <c:extLst>
            <c:ext xmlns:c16="http://schemas.microsoft.com/office/drawing/2014/chart" uri="{C3380CC4-5D6E-409C-BE32-E72D297353CC}">
              <c16:uniqueId val="{00000005-5044-436D-AAB3-DB1302CEBBAC}"/>
            </c:ext>
          </c:extLst>
        </c:ser>
        <c:ser>
          <c:idx val="6"/>
          <c:order val="6"/>
          <c:tx>
            <c:strRef>
              <c:f>[1]mapping!$P$25</c:f>
              <c:strCache>
                <c:ptCount val="1"/>
                <c:pt idx="0">
                  <c:v>Commoning</c:v>
                </c:pt>
              </c:strCache>
            </c:strRef>
          </c:tx>
          <c:spPr>
            <a:solidFill>
              <a:schemeClr val="accent1">
                <a:lumMod val="60000"/>
              </a:schemeClr>
            </a:solidFill>
            <a:ln>
              <a:noFill/>
            </a:ln>
            <a:effectLst/>
          </c:spPr>
          <c:invertIfNegative val="0"/>
          <c:val>
            <c:numRef>
              <c:f>[1]mapping!$Q$25</c:f>
              <c:numCache>
                <c:formatCode>General</c:formatCode>
                <c:ptCount val="1"/>
                <c:pt idx="0">
                  <c:v>2</c:v>
                </c:pt>
              </c:numCache>
            </c:numRef>
          </c:val>
          <c:extLst>
            <c:ext xmlns:c16="http://schemas.microsoft.com/office/drawing/2014/chart" uri="{C3380CC4-5D6E-409C-BE32-E72D297353CC}">
              <c16:uniqueId val="{00000006-5044-436D-AAB3-DB1302CEBBAC}"/>
            </c:ext>
          </c:extLst>
        </c:ser>
        <c:ser>
          <c:idx val="7"/>
          <c:order val="7"/>
          <c:tx>
            <c:strRef>
              <c:f>[1]mapping!$P$26</c:f>
              <c:strCache>
                <c:ptCount val="1"/>
                <c:pt idx="0">
                  <c:v>Direct democracy</c:v>
                </c:pt>
              </c:strCache>
            </c:strRef>
          </c:tx>
          <c:spPr>
            <a:solidFill>
              <a:schemeClr val="accent2">
                <a:lumMod val="60000"/>
              </a:schemeClr>
            </a:solidFill>
            <a:ln>
              <a:noFill/>
            </a:ln>
            <a:effectLst/>
          </c:spPr>
          <c:invertIfNegative val="0"/>
          <c:val>
            <c:numRef>
              <c:f>[1]mapping!$Q$26</c:f>
              <c:numCache>
                <c:formatCode>General</c:formatCode>
                <c:ptCount val="1"/>
                <c:pt idx="0">
                  <c:v>1</c:v>
                </c:pt>
              </c:numCache>
            </c:numRef>
          </c:val>
          <c:extLst>
            <c:ext xmlns:c16="http://schemas.microsoft.com/office/drawing/2014/chart" uri="{C3380CC4-5D6E-409C-BE32-E72D297353CC}">
              <c16:uniqueId val="{00000007-5044-436D-AAB3-DB1302CEBBAC}"/>
            </c:ext>
          </c:extLst>
        </c:ser>
        <c:ser>
          <c:idx val="8"/>
          <c:order val="8"/>
          <c:tx>
            <c:strRef>
              <c:f>[1]mapping!$P$27</c:f>
              <c:strCache>
                <c:ptCount val="1"/>
                <c:pt idx="0">
                  <c:v>Decommodification</c:v>
                </c:pt>
              </c:strCache>
            </c:strRef>
          </c:tx>
          <c:spPr>
            <a:solidFill>
              <a:schemeClr val="accent3">
                <a:lumMod val="60000"/>
              </a:schemeClr>
            </a:solidFill>
            <a:ln>
              <a:noFill/>
            </a:ln>
            <a:effectLst/>
          </c:spPr>
          <c:invertIfNegative val="0"/>
          <c:val>
            <c:numRef>
              <c:f>[1]mapping!$Q$27</c:f>
              <c:numCache>
                <c:formatCode>General</c:formatCode>
                <c:ptCount val="1"/>
                <c:pt idx="0">
                  <c:v>0</c:v>
                </c:pt>
              </c:numCache>
            </c:numRef>
          </c:val>
          <c:extLst>
            <c:ext xmlns:c16="http://schemas.microsoft.com/office/drawing/2014/chart" uri="{C3380CC4-5D6E-409C-BE32-E72D297353CC}">
              <c16:uniqueId val="{00000008-5044-436D-AAB3-DB1302CEBBAC}"/>
            </c:ext>
          </c:extLst>
        </c:ser>
        <c:ser>
          <c:idx val="9"/>
          <c:order val="9"/>
          <c:tx>
            <c:strRef>
              <c:f>[1]mapping!$P$28</c:f>
              <c:strCache>
                <c:ptCount val="1"/>
                <c:pt idx="0">
                  <c:v>Decolonization</c:v>
                </c:pt>
              </c:strCache>
            </c:strRef>
          </c:tx>
          <c:spPr>
            <a:solidFill>
              <a:schemeClr val="accent4">
                <a:lumMod val="60000"/>
              </a:schemeClr>
            </a:solidFill>
            <a:ln>
              <a:noFill/>
            </a:ln>
            <a:effectLst/>
          </c:spPr>
          <c:invertIfNegative val="0"/>
          <c:val>
            <c:numRef>
              <c:f>[1]mapping!$Q$28</c:f>
              <c:numCache>
                <c:formatCode>General</c:formatCode>
                <c:ptCount val="1"/>
                <c:pt idx="0">
                  <c:v>0</c:v>
                </c:pt>
              </c:numCache>
            </c:numRef>
          </c:val>
          <c:extLst>
            <c:ext xmlns:c16="http://schemas.microsoft.com/office/drawing/2014/chart" uri="{C3380CC4-5D6E-409C-BE32-E72D297353CC}">
              <c16:uniqueId val="{00000009-5044-436D-AAB3-DB1302CEBBAC}"/>
            </c:ext>
          </c:extLst>
        </c:ser>
        <c:ser>
          <c:idx val="10"/>
          <c:order val="10"/>
          <c:tx>
            <c:strRef>
              <c:f>[1]mapping!$P$29</c:f>
              <c:strCache>
                <c:ptCount val="1"/>
                <c:pt idx="0">
                  <c:v>Conviviality</c:v>
                </c:pt>
              </c:strCache>
            </c:strRef>
          </c:tx>
          <c:spPr>
            <a:solidFill>
              <a:schemeClr val="accent5">
                <a:lumMod val="60000"/>
              </a:schemeClr>
            </a:solidFill>
            <a:ln>
              <a:noFill/>
            </a:ln>
            <a:effectLst/>
          </c:spPr>
          <c:invertIfNegative val="0"/>
          <c:val>
            <c:numRef>
              <c:f>[1]mapping!$Q$29</c:f>
              <c:numCache>
                <c:formatCode>General</c:formatCode>
                <c:ptCount val="1"/>
                <c:pt idx="0">
                  <c:v>0</c:v>
                </c:pt>
              </c:numCache>
            </c:numRef>
          </c:val>
          <c:extLst>
            <c:ext xmlns:c16="http://schemas.microsoft.com/office/drawing/2014/chart" uri="{C3380CC4-5D6E-409C-BE32-E72D297353CC}">
              <c16:uniqueId val="{0000000A-5044-436D-AAB3-DB1302CEBBAC}"/>
            </c:ext>
          </c:extLst>
        </c:ser>
        <c:ser>
          <c:idx val="11"/>
          <c:order val="11"/>
          <c:tx>
            <c:strRef>
              <c:f>[1]mapping!$P$30</c:f>
              <c:strCache>
                <c:ptCount val="1"/>
                <c:pt idx="0">
                  <c:v>Alternative metrics</c:v>
                </c:pt>
              </c:strCache>
            </c:strRef>
          </c:tx>
          <c:spPr>
            <a:solidFill>
              <a:schemeClr val="accent6">
                <a:lumMod val="60000"/>
              </a:schemeClr>
            </a:solidFill>
            <a:ln>
              <a:noFill/>
            </a:ln>
            <a:effectLst/>
          </c:spPr>
          <c:invertIfNegative val="0"/>
          <c:val>
            <c:numRef>
              <c:f>[1]mapping!$Q$30</c:f>
              <c:numCache>
                <c:formatCode>General</c:formatCode>
                <c:ptCount val="1"/>
                <c:pt idx="0">
                  <c:v>0</c:v>
                </c:pt>
              </c:numCache>
            </c:numRef>
          </c:val>
          <c:extLst>
            <c:ext xmlns:c16="http://schemas.microsoft.com/office/drawing/2014/chart" uri="{C3380CC4-5D6E-409C-BE32-E72D297353CC}">
              <c16:uniqueId val="{0000000B-5044-436D-AAB3-DB1302CEBBAC}"/>
            </c:ext>
          </c:extLst>
        </c:ser>
        <c:dLbls>
          <c:showLegendKey val="0"/>
          <c:showVal val="0"/>
          <c:showCatName val="0"/>
          <c:showSerName val="0"/>
          <c:showPercent val="0"/>
          <c:showBubbleSize val="0"/>
        </c:dLbls>
        <c:gapWidth val="219"/>
        <c:overlap val="-27"/>
        <c:axId val="479854720"/>
        <c:axId val="479855680"/>
      </c:barChart>
      <c:catAx>
        <c:axId val="4798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9855680"/>
        <c:crosses val="autoZero"/>
        <c:auto val="1"/>
        <c:lblAlgn val="ctr"/>
        <c:lblOffset val="100"/>
        <c:noMultiLvlLbl val="0"/>
      </c:catAx>
      <c:valAx>
        <c:axId val="47985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985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758991</xdr:colOff>
      <xdr:row>1</xdr:row>
      <xdr:rowOff>137557</xdr:rowOff>
    </xdr:from>
    <xdr:to>
      <xdr:col>25</xdr:col>
      <xdr:colOff>362857</xdr:colOff>
      <xdr:row>18</xdr:row>
      <xdr:rowOff>158750</xdr:rowOff>
    </xdr:to>
    <xdr:graphicFrame macro="">
      <xdr:nvGraphicFramePr>
        <xdr:cNvPr id="2" name="Graphique 1">
          <a:extLst>
            <a:ext uri="{FF2B5EF4-FFF2-40B4-BE49-F238E27FC236}">
              <a16:creationId xmlns:a16="http://schemas.microsoft.com/office/drawing/2014/main" id="{374AC3AC-72A0-4341-9885-5F1DB6024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86351</xdr:colOff>
      <xdr:row>23</xdr:row>
      <xdr:rowOff>57412</xdr:rowOff>
    </xdr:from>
    <xdr:to>
      <xdr:col>25</xdr:col>
      <xdr:colOff>612320</xdr:colOff>
      <xdr:row>46</xdr:row>
      <xdr:rowOff>22678</xdr:rowOff>
    </xdr:to>
    <xdr:graphicFrame macro="">
      <xdr:nvGraphicFramePr>
        <xdr:cNvPr id="3" name="Graphique 2">
          <a:extLst>
            <a:ext uri="{FF2B5EF4-FFF2-40B4-BE49-F238E27FC236}">
              <a16:creationId xmlns:a16="http://schemas.microsoft.com/office/drawing/2014/main" id="{D22EF356-28BE-4A9C-B455-F46467B4C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versitaetstgallen-my.sharepoint.com/personal/laura_karrer_student_unisg_ch/Documents/Thesis%20keywords%20F.xlsx" TargetMode="External"/><Relationship Id="rId1" Type="http://schemas.openxmlformats.org/officeDocument/2006/relationships/externalLinkPath" Target="https://universitaetstgallen-my.sharepoint.com/personal/laura_karrer_student_unisg_ch/Documents/Thesis%20keywords%20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epts"/>
      <sheetName val="mapping"/>
      <sheetName val="CD"/>
      <sheetName val="D"/>
      <sheetName val="SDS topics"/>
    </sheetNames>
    <sheetDataSet>
      <sheetData sheetId="0"/>
      <sheetData sheetId="1">
        <row r="2">
          <cell r="P2" t="str">
            <v>Keyword</v>
          </cell>
          <cell r="Q2">
            <v>10</v>
          </cell>
        </row>
        <row r="3">
          <cell r="P3" t="str">
            <v>Global objectives</v>
          </cell>
          <cell r="Q3">
            <v>5</v>
          </cell>
        </row>
        <row r="4">
          <cell r="P4" t="str">
            <v>objectives</v>
          </cell>
          <cell r="Q4">
            <v>12</v>
          </cell>
        </row>
        <row r="5">
          <cell r="P5" t="str">
            <v xml:space="preserve">measures </v>
          </cell>
          <cell r="Q5">
            <v>14</v>
          </cell>
        </row>
        <row r="6">
          <cell r="P6" t="str">
            <v xml:space="preserve">measurable goals </v>
          </cell>
          <cell r="Q6">
            <v>2</v>
          </cell>
        </row>
        <row r="7">
          <cell r="P7" t="str">
            <v>intermediate fit</v>
          </cell>
          <cell r="Q7">
            <v>2</v>
          </cell>
        </row>
        <row r="19">
          <cell r="P19" t="str">
            <v>Reduce</v>
          </cell>
          <cell r="Q19">
            <v>15</v>
          </cell>
        </row>
        <row r="20">
          <cell r="P20" t="str">
            <v>Sustainable agriculture</v>
          </cell>
          <cell r="Q20">
            <v>10</v>
          </cell>
        </row>
        <row r="21">
          <cell r="P21" t="str">
            <v>Sufficiency</v>
          </cell>
          <cell r="Q21">
            <v>8</v>
          </cell>
        </row>
        <row r="22">
          <cell r="P22" t="str">
            <v>Social Justice</v>
          </cell>
          <cell r="Q22">
            <v>5</v>
          </cell>
        </row>
        <row r="23">
          <cell r="P23" t="str">
            <v>Reconceptualize &amp; redistribute</v>
          </cell>
          <cell r="Q23">
            <v>3</v>
          </cell>
        </row>
        <row r="24">
          <cell r="P24" t="str">
            <v>Circularity</v>
          </cell>
          <cell r="Q24">
            <v>2</v>
          </cell>
        </row>
        <row r="25">
          <cell r="P25" t="str">
            <v>Commoning</v>
          </cell>
          <cell r="Q25">
            <v>2</v>
          </cell>
        </row>
        <row r="26">
          <cell r="P26" t="str">
            <v>Direct democracy</v>
          </cell>
          <cell r="Q26">
            <v>1</v>
          </cell>
        </row>
        <row r="27">
          <cell r="P27" t="str">
            <v>Decommodification</v>
          </cell>
          <cell r="Q27">
            <v>0</v>
          </cell>
        </row>
        <row r="28">
          <cell r="P28" t="str">
            <v>Decolonization</v>
          </cell>
          <cell r="Q28">
            <v>0</v>
          </cell>
        </row>
        <row r="29">
          <cell r="P29" t="str">
            <v>Conviviality</v>
          </cell>
          <cell r="Q29">
            <v>0</v>
          </cell>
        </row>
        <row r="30">
          <cell r="P30" t="str">
            <v>Alternative metrics</v>
          </cell>
          <cell r="Q30">
            <v>0</v>
          </cell>
        </row>
      </sheetData>
      <sheetData sheetId="2"/>
      <sheetData sheetId="3"/>
      <sheetData sheetId="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2DE3-D27B-4384-8607-129CA8E76C46}">
  <dimension ref="B2:AY98"/>
  <sheetViews>
    <sheetView tabSelected="1" zoomScale="61" workbookViewId="0">
      <selection activeCell="B23" sqref="B23"/>
    </sheetView>
  </sheetViews>
  <sheetFormatPr baseColWidth="10" defaultRowHeight="14.5" x14ac:dyDescent="0.35"/>
  <cols>
    <col min="2" max="2" width="101.81640625" customWidth="1"/>
    <col min="3" max="3" width="124.1796875" customWidth="1"/>
    <col min="4" max="4" width="75.90625" customWidth="1"/>
    <col min="5" max="5" width="55" customWidth="1"/>
    <col min="6" max="6" width="116.6328125" customWidth="1"/>
    <col min="7" max="7" width="71.36328125" customWidth="1"/>
    <col min="8" max="8" width="66.08984375" customWidth="1"/>
    <col min="9" max="9" width="51.1796875" customWidth="1"/>
    <col min="10" max="10" width="128.7265625" customWidth="1"/>
    <col min="11" max="11" width="115.6328125" customWidth="1"/>
    <col min="12" max="12" width="85.90625" customWidth="1"/>
    <col min="13" max="13" width="65.453125" customWidth="1"/>
    <col min="14" max="14" width="60.54296875" customWidth="1"/>
    <col min="15" max="15" width="29.36328125" customWidth="1"/>
    <col min="16" max="16" width="41.453125" customWidth="1"/>
  </cols>
  <sheetData>
    <row r="2" spans="2:51" x14ac:dyDescent="0.35">
      <c r="B2" s="1" t="s">
        <v>365</v>
      </c>
    </row>
    <row r="3" spans="2:51" x14ac:dyDescent="0.35">
      <c r="B3" s="1" t="s">
        <v>0</v>
      </c>
      <c r="C3" s="2">
        <v>3</v>
      </c>
      <c r="D3" s="2"/>
      <c r="E3" s="2"/>
      <c r="F3" s="2">
        <v>5</v>
      </c>
      <c r="G3" s="2"/>
      <c r="H3" s="2"/>
      <c r="I3" s="2"/>
      <c r="J3" s="2"/>
      <c r="K3" s="2">
        <v>1</v>
      </c>
      <c r="L3" s="2"/>
      <c r="M3" s="2">
        <v>2</v>
      </c>
      <c r="N3" s="2"/>
      <c r="O3" s="2">
        <f>SUM(C3:N3)</f>
        <v>11</v>
      </c>
      <c r="P3" t="s">
        <v>1</v>
      </c>
      <c r="Q3">
        <v>10</v>
      </c>
      <c r="AA3" s="1"/>
    </row>
    <row r="4" spans="2:51" x14ac:dyDescent="0.35">
      <c r="C4" s="3"/>
      <c r="D4" s="3"/>
      <c r="E4" s="3"/>
      <c r="F4" s="3">
        <v>1</v>
      </c>
      <c r="G4" s="3">
        <v>1</v>
      </c>
      <c r="H4" s="3"/>
      <c r="I4" s="3"/>
      <c r="J4" s="3"/>
      <c r="K4" s="3">
        <v>3</v>
      </c>
      <c r="L4" s="3"/>
      <c r="M4" s="3"/>
      <c r="N4" s="3"/>
      <c r="O4" s="3">
        <f>SUM(C4:M4)</f>
        <v>5</v>
      </c>
      <c r="P4" t="s">
        <v>2</v>
      </c>
      <c r="Q4">
        <v>5</v>
      </c>
      <c r="AA4" s="1"/>
      <c r="AH4" s="1"/>
      <c r="AI4" s="1"/>
      <c r="AK4" s="1"/>
      <c r="AM4" s="1"/>
      <c r="AY4" s="1"/>
    </row>
    <row r="5" spans="2:51" x14ac:dyDescent="0.35">
      <c r="C5" s="4">
        <v>8</v>
      </c>
      <c r="D5" s="4">
        <v>2</v>
      </c>
      <c r="E5" s="4"/>
      <c r="F5" s="4"/>
      <c r="G5" s="4"/>
      <c r="H5" s="4"/>
      <c r="I5" s="4"/>
      <c r="J5" s="4"/>
      <c r="K5" s="4">
        <v>2</v>
      </c>
      <c r="L5" s="4"/>
      <c r="M5" s="4"/>
      <c r="N5" s="4"/>
      <c r="O5" s="4">
        <f>SUM(C5:N5)</f>
        <v>12</v>
      </c>
      <c r="P5" t="s">
        <v>3</v>
      </c>
      <c r="Q5">
        <v>12</v>
      </c>
      <c r="T5" s="1"/>
    </row>
    <row r="6" spans="2:51" x14ac:dyDescent="0.35">
      <c r="B6" s="5" t="s">
        <v>4</v>
      </c>
      <c r="C6" s="6"/>
      <c r="D6" s="6"/>
      <c r="E6" s="6"/>
      <c r="F6" s="6">
        <v>2</v>
      </c>
      <c r="G6" s="6">
        <v>4</v>
      </c>
      <c r="H6" s="6"/>
      <c r="I6" s="6">
        <v>1</v>
      </c>
      <c r="J6" s="6"/>
      <c r="K6" s="6">
        <v>4</v>
      </c>
      <c r="L6" s="6">
        <v>3</v>
      </c>
      <c r="M6" s="6"/>
      <c r="N6" s="6"/>
      <c r="O6" s="6">
        <f>SUM(C6:N6)</f>
        <v>14</v>
      </c>
      <c r="P6" t="s">
        <v>5</v>
      </c>
      <c r="Q6">
        <v>14</v>
      </c>
    </row>
    <row r="7" spans="2:51" x14ac:dyDescent="0.35">
      <c r="B7" t="s">
        <v>6</v>
      </c>
      <c r="C7" s="7">
        <v>2</v>
      </c>
      <c r="D7" s="7"/>
      <c r="E7" s="7"/>
      <c r="F7" s="7"/>
      <c r="G7" s="7"/>
      <c r="H7" s="7"/>
      <c r="I7" s="7"/>
      <c r="J7" s="7"/>
      <c r="K7" s="7"/>
      <c r="L7" s="7"/>
      <c r="M7" s="7"/>
      <c r="N7" s="7"/>
      <c r="O7" s="7">
        <f>SUM(C7:N7)</f>
        <v>2</v>
      </c>
      <c r="P7" t="s">
        <v>7</v>
      </c>
      <c r="Q7">
        <v>2</v>
      </c>
    </row>
    <row r="8" spans="2:51" x14ac:dyDescent="0.35">
      <c r="B8" t="s">
        <v>8</v>
      </c>
      <c r="C8" s="8">
        <v>2</v>
      </c>
      <c r="D8" s="8"/>
      <c r="E8" s="8"/>
      <c r="F8" s="8"/>
      <c r="G8" s="8"/>
      <c r="H8" s="8"/>
      <c r="I8" s="8"/>
      <c r="J8" s="8"/>
      <c r="K8" s="8"/>
      <c r="L8" s="8"/>
      <c r="M8" s="8"/>
      <c r="N8" s="8"/>
      <c r="O8" s="8">
        <v>2</v>
      </c>
      <c r="P8" t="s">
        <v>9</v>
      </c>
      <c r="Q8">
        <v>2</v>
      </c>
    </row>
    <row r="10" spans="2:51" x14ac:dyDescent="0.35">
      <c r="C10" s="1" t="s">
        <v>10</v>
      </c>
      <c r="D10" s="1" t="s">
        <v>11</v>
      </c>
      <c r="E10" s="1" t="s">
        <v>12</v>
      </c>
      <c r="F10" s="1" t="s">
        <v>13</v>
      </c>
      <c r="G10" s="1" t="s">
        <v>14</v>
      </c>
      <c r="H10" s="1" t="s">
        <v>15</v>
      </c>
      <c r="I10" s="1" t="s">
        <v>16</v>
      </c>
      <c r="J10" s="1" t="s">
        <v>17</v>
      </c>
      <c r="K10" s="1" t="s">
        <v>18</v>
      </c>
      <c r="L10" s="1" t="s">
        <v>19</v>
      </c>
      <c r="M10" s="1" t="s">
        <v>20</v>
      </c>
      <c r="N10" s="1" t="s">
        <v>21</v>
      </c>
      <c r="O10">
        <f>SUM(O3:O8)</f>
        <v>46</v>
      </c>
    </row>
    <row r="12" spans="2:51" ht="29" x14ac:dyDescent="0.35">
      <c r="C12" s="3" t="s">
        <v>22</v>
      </c>
      <c r="D12" s="3" t="s">
        <v>23</v>
      </c>
      <c r="E12" s="4" t="s">
        <v>24</v>
      </c>
      <c r="F12" s="9" t="s">
        <v>25</v>
      </c>
      <c r="G12" s="4" t="s">
        <v>26</v>
      </c>
      <c r="H12" s="4" t="s">
        <v>27</v>
      </c>
      <c r="I12" s="3" t="s">
        <v>28</v>
      </c>
      <c r="J12" s="4" t="s">
        <v>29</v>
      </c>
      <c r="K12" s="3" t="s">
        <v>30</v>
      </c>
      <c r="L12" s="4" t="s">
        <v>31</v>
      </c>
      <c r="M12" s="4" t="s">
        <v>32</v>
      </c>
      <c r="N12" s="4" t="s">
        <v>33</v>
      </c>
    </row>
    <row r="13" spans="2:51" x14ac:dyDescent="0.35">
      <c r="C13" s="4" t="s">
        <v>34</v>
      </c>
      <c r="D13" s="10" t="s">
        <v>35</v>
      </c>
      <c r="E13" s="4" t="s">
        <v>36</v>
      </c>
      <c r="F13" s="4" t="s">
        <v>37</v>
      </c>
      <c r="G13" s="6" t="s">
        <v>38</v>
      </c>
      <c r="I13" s="4" t="s">
        <v>39</v>
      </c>
      <c r="J13" s="4" t="s">
        <v>40</v>
      </c>
      <c r="K13" s="11" t="s">
        <v>41</v>
      </c>
      <c r="L13" s="6" t="s">
        <v>42</v>
      </c>
      <c r="M13" s="6" t="s">
        <v>43</v>
      </c>
      <c r="N13" s="6" t="s">
        <v>44</v>
      </c>
    </row>
    <row r="14" spans="2:51" x14ac:dyDescent="0.35">
      <c r="C14" s="4" t="s">
        <v>45</v>
      </c>
      <c r="D14" s="6" t="s">
        <v>46</v>
      </c>
      <c r="E14" s="4" t="s">
        <v>47</v>
      </c>
      <c r="F14" s="4" t="s">
        <v>48</v>
      </c>
      <c r="G14" s="6" t="s">
        <v>49</v>
      </c>
      <c r="I14" s="6" t="s">
        <v>50</v>
      </c>
      <c r="J14" s="6" t="s">
        <v>51</v>
      </c>
      <c r="K14" s="6" t="s">
        <v>52</v>
      </c>
      <c r="L14" s="12" t="s">
        <v>53</v>
      </c>
      <c r="M14" s="6" t="s">
        <v>54</v>
      </c>
      <c r="N14" s="6" t="s">
        <v>55</v>
      </c>
    </row>
    <row r="15" spans="2:51" x14ac:dyDescent="0.35">
      <c r="C15" s="6" t="s">
        <v>56</v>
      </c>
      <c r="D15" s="6" t="s">
        <v>57</v>
      </c>
      <c r="E15" s="4" t="s">
        <v>58</v>
      </c>
      <c r="F15" s="4" t="s">
        <v>59</v>
      </c>
      <c r="G15" s="6" t="s">
        <v>60</v>
      </c>
      <c r="I15" s="6" t="s">
        <v>61</v>
      </c>
      <c r="J15" s="6" t="s">
        <v>62</v>
      </c>
      <c r="K15" s="6" t="s">
        <v>63</v>
      </c>
      <c r="L15" s="6" t="s">
        <v>64</v>
      </c>
      <c r="M15" s="6" t="s">
        <v>65</v>
      </c>
      <c r="N15" s="6" t="s">
        <v>66</v>
      </c>
    </row>
    <row r="16" spans="2:51" x14ac:dyDescent="0.35">
      <c r="C16" s="6" t="s">
        <v>67</v>
      </c>
      <c r="D16" s="6" t="s">
        <v>68</v>
      </c>
      <c r="E16" s="4" t="s">
        <v>69</v>
      </c>
      <c r="F16" s="4" t="s">
        <v>70</v>
      </c>
      <c r="G16" s="6" t="s">
        <v>71</v>
      </c>
      <c r="I16" s="6" t="s">
        <v>72</v>
      </c>
      <c r="J16" s="6" t="s">
        <v>73</v>
      </c>
      <c r="K16" s="12" t="s">
        <v>74</v>
      </c>
      <c r="L16" s="3" t="s">
        <v>75</v>
      </c>
      <c r="M16" s="6" t="s">
        <v>76</v>
      </c>
      <c r="N16" s="6" t="s">
        <v>77</v>
      </c>
    </row>
    <row r="17" spans="3:17" x14ac:dyDescent="0.35">
      <c r="C17" s="4" t="s">
        <v>78</v>
      </c>
      <c r="D17" s="6" t="s">
        <v>79</v>
      </c>
      <c r="E17" s="6" t="s">
        <v>80</v>
      </c>
      <c r="F17" s="4" t="s">
        <v>81</v>
      </c>
      <c r="G17" s="6" t="s">
        <v>82</v>
      </c>
      <c r="I17" s="6" t="s">
        <v>83</v>
      </c>
      <c r="J17" s="6" t="s">
        <v>84</v>
      </c>
      <c r="K17" s="6" t="s">
        <v>85</v>
      </c>
      <c r="L17" s="4" t="s">
        <v>86</v>
      </c>
      <c r="M17" s="6" t="s">
        <v>87</v>
      </c>
      <c r="N17" s="6" t="s">
        <v>88</v>
      </c>
      <c r="Q17">
        <f>SUM(Q20:Q31)</f>
        <v>46</v>
      </c>
    </row>
    <row r="18" spans="3:17" x14ac:dyDescent="0.35">
      <c r="C18" s="6" t="s">
        <v>89</v>
      </c>
      <c r="D18" s="6" t="s">
        <v>90</v>
      </c>
      <c r="E18" s="6" t="s">
        <v>91</v>
      </c>
      <c r="F18" s="13" t="s">
        <v>92</v>
      </c>
      <c r="G18" s="6" t="s">
        <v>93</v>
      </c>
      <c r="I18" s="6" t="s">
        <v>94</v>
      </c>
      <c r="J18" s="6" t="s">
        <v>95</v>
      </c>
      <c r="K18" s="6" t="s">
        <v>96</v>
      </c>
      <c r="L18" s="7" t="s">
        <v>97</v>
      </c>
      <c r="M18" s="4" t="s">
        <v>98</v>
      </c>
      <c r="N18" s="6" t="s">
        <v>99</v>
      </c>
    </row>
    <row r="19" spans="3:17" x14ac:dyDescent="0.35">
      <c r="C19" s="10" t="s">
        <v>100</v>
      </c>
      <c r="D19" s="6" t="s">
        <v>101</v>
      </c>
      <c r="E19" s="6" t="s">
        <v>102</v>
      </c>
      <c r="F19" s="4" t="s">
        <v>103</v>
      </c>
      <c r="G19" s="3" t="s">
        <v>104</v>
      </c>
      <c r="I19" s="6" t="s">
        <v>105</v>
      </c>
      <c r="J19" s="6" t="s">
        <v>106</v>
      </c>
      <c r="K19" s="12" t="s">
        <v>107</v>
      </c>
      <c r="L19" s="7" t="s">
        <v>108</v>
      </c>
      <c r="M19" s="6" t="s">
        <v>109</v>
      </c>
      <c r="N19" s="6" t="s">
        <v>110</v>
      </c>
    </row>
    <row r="20" spans="3:17" x14ac:dyDescent="0.35">
      <c r="C20" s="6" t="s">
        <v>111</v>
      </c>
      <c r="D20" s="6" t="s">
        <v>112</v>
      </c>
      <c r="F20" s="3" t="s">
        <v>113</v>
      </c>
      <c r="G20" s="4" t="s">
        <v>114</v>
      </c>
      <c r="I20" s="6" t="s">
        <v>115</v>
      </c>
      <c r="J20" s="4" t="s">
        <v>116</v>
      </c>
      <c r="K20" s="10" t="s">
        <v>117</v>
      </c>
      <c r="L20" s="7" t="s">
        <v>118</v>
      </c>
      <c r="M20" s="6" t="s">
        <v>119</v>
      </c>
      <c r="N20" s="6" t="s">
        <v>120</v>
      </c>
      <c r="O20">
        <v>1</v>
      </c>
      <c r="P20" t="s">
        <v>10</v>
      </c>
      <c r="Q20">
        <v>15</v>
      </c>
    </row>
    <row r="21" spans="3:17" x14ac:dyDescent="0.35">
      <c r="C21" s="4" t="s">
        <v>121</v>
      </c>
      <c r="D21" s="6" t="s">
        <v>122</v>
      </c>
      <c r="F21" s="4" t="s">
        <v>123</v>
      </c>
      <c r="G21" s="6" t="s">
        <v>124</v>
      </c>
      <c r="I21" s="6" t="s">
        <v>125</v>
      </c>
      <c r="J21" s="6" t="s">
        <v>126</v>
      </c>
      <c r="K21" s="6" t="s">
        <v>127</v>
      </c>
      <c r="L21" s="7" t="s">
        <v>128</v>
      </c>
      <c r="M21" s="6" t="s">
        <v>129</v>
      </c>
      <c r="N21" s="6" t="s">
        <v>130</v>
      </c>
      <c r="O21">
        <v>2</v>
      </c>
      <c r="P21" s="6" t="s">
        <v>18</v>
      </c>
      <c r="Q21">
        <v>10</v>
      </c>
    </row>
    <row r="22" spans="3:17" x14ac:dyDescent="0.35">
      <c r="C22" s="3" t="s">
        <v>131</v>
      </c>
      <c r="D22" s="6" t="s">
        <v>132</v>
      </c>
      <c r="F22" s="6" t="s">
        <v>133</v>
      </c>
      <c r="G22" s="6" t="s">
        <v>134</v>
      </c>
      <c r="I22" s="6" t="s">
        <v>135</v>
      </c>
      <c r="J22" s="6" t="s">
        <v>136</v>
      </c>
      <c r="K22" s="4" t="s">
        <v>137</v>
      </c>
      <c r="L22" s="7" t="s">
        <v>138</v>
      </c>
      <c r="M22" s="6" t="s">
        <v>139</v>
      </c>
      <c r="N22" s="6" t="s">
        <v>140</v>
      </c>
      <c r="O22">
        <v>3</v>
      </c>
      <c r="P22" t="s">
        <v>13</v>
      </c>
      <c r="Q22">
        <v>8</v>
      </c>
    </row>
    <row r="23" spans="3:17" x14ac:dyDescent="0.35">
      <c r="C23" s="10" t="s">
        <v>141</v>
      </c>
      <c r="D23" s="6" t="s">
        <v>142</v>
      </c>
      <c r="F23" s="6" t="s">
        <v>143</v>
      </c>
      <c r="G23" s="3" t="s">
        <v>144</v>
      </c>
      <c r="I23" s="6" t="s">
        <v>145</v>
      </c>
      <c r="J23" s="6" t="s">
        <v>146</v>
      </c>
      <c r="K23" s="3" t="s">
        <v>147</v>
      </c>
      <c r="L23" s="7" t="s">
        <v>148</v>
      </c>
      <c r="M23" s="4" t="s">
        <v>149</v>
      </c>
      <c r="N23" s="6" t="s">
        <v>150</v>
      </c>
      <c r="O23">
        <v>4</v>
      </c>
      <c r="P23" t="s">
        <v>151</v>
      </c>
      <c r="Q23">
        <v>5</v>
      </c>
    </row>
    <row r="24" spans="3:17" x14ac:dyDescent="0.35">
      <c r="C24" s="6" t="s">
        <v>152</v>
      </c>
      <c r="D24" s="4" t="s">
        <v>153</v>
      </c>
      <c r="F24" s="6" t="s">
        <v>154</v>
      </c>
      <c r="G24" s="4" t="s">
        <v>155</v>
      </c>
      <c r="I24" s="6" t="s">
        <v>156</v>
      </c>
      <c r="J24" s="6" t="s">
        <v>157</v>
      </c>
      <c r="K24" s="14" t="s">
        <v>158</v>
      </c>
      <c r="L24" s="7" t="s">
        <v>159</v>
      </c>
      <c r="M24" s="6" t="s">
        <v>160</v>
      </c>
      <c r="O24">
        <v>5</v>
      </c>
      <c r="P24" t="s">
        <v>161</v>
      </c>
      <c r="Q24">
        <v>3</v>
      </c>
    </row>
    <row r="25" spans="3:17" x14ac:dyDescent="0.35">
      <c r="C25" s="6" t="s">
        <v>162</v>
      </c>
      <c r="D25" s="6" t="s">
        <v>163</v>
      </c>
      <c r="F25" s="4" t="s">
        <v>164</v>
      </c>
      <c r="G25" s="6" t="s">
        <v>165</v>
      </c>
      <c r="I25" s="4" t="s">
        <v>166</v>
      </c>
      <c r="J25" s="6" t="s">
        <v>167</v>
      </c>
      <c r="K25" s="12" t="s">
        <v>168</v>
      </c>
      <c r="L25" s="7" t="s">
        <v>169</v>
      </c>
      <c r="M25" s="6" t="s">
        <v>170</v>
      </c>
      <c r="O25">
        <v>6</v>
      </c>
      <c r="P25" t="s">
        <v>20</v>
      </c>
      <c r="Q25">
        <v>2</v>
      </c>
    </row>
    <row r="26" spans="3:17" x14ac:dyDescent="0.35">
      <c r="C26" s="6" t="s">
        <v>171</v>
      </c>
      <c r="D26" s="6" t="s">
        <v>172</v>
      </c>
      <c r="F26" s="6" t="s">
        <v>173</v>
      </c>
      <c r="G26" s="12" t="s">
        <v>174</v>
      </c>
      <c r="I26" s="6" t="s">
        <v>175</v>
      </c>
      <c r="J26" s="4" t="s">
        <v>176</v>
      </c>
      <c r="K26" s="14" t="s">
        <v>177</v>
      </c>
      <c r="L26" s="7" t="s">
        <v>178</v>
      </c>
      <c r="M26" s="15"/>
      <c r="O26">
        <v>7</v>
      </c>
      <c r="P26" t="s">
        <v>11</v>
      </c>
      <c r="Q26">
        <v>2</v>
      </c>
    </row>
    <row r="27" spans="3:17" x14ac:dyDescent="0.35">
      <c r="C27" s="6" t="s">
        <v>179</v>
      </c>
      <c r="D27" s="10" t="s">
        <v>180</v>
      </c>
      <c r="F27" s="12" t="s">
        <v>181</v>
      </c>
      <c r="G27" s="6" t="s">
        <v>182</v>
      </c>
      <c r="I27" s="3" t="s">
        <v>183</v>
      </c>
      <c r="J27" s="6" t="s">
        <v>184</v>
      </c>
      <c r="K27" s="6" t="s">
        <v>185</v>
      </c>
      <c r="L27" s="12" t="s">
        <v>186</v>
      </c>
      <c r="M27" s="15"/>
      <c r="O27">
        <v>8</v>
      </c>
      <c r="P27" t="s">
        <v>16</v>
      </c>
      <c r="Q27">
        <v>1</v>
      </c>
    </row>
    <row r="28" spans="3:17" x14ac:dyDescent="0.35">
      <c r="C28" s="6" t="s">
        <v>187</v>
      </c>
      <c r="D28" s="6" t="s">
        <v>188</v>
      </c>
      <c r="F28" s="4" t="s">
        <v>189</v>
      </c>
      <c r="G28" s="6" t="s">
        <v>190</v>
      </c>
      <c r="I28" s="4" t="s">
        <v>191</v>
      </c>
      <c r="K28" s="6" t="s">
        <v>192</v>
      </c>
      <c r="L28" s="6" t="s">
        <v>193</v>
      </c>
      <c r="M28" s="15"/>
      <c r="O28">
        <v>9</v>
      </c>
      <c r="P28" t="s">
        <v>21</v>
      </c>
      <c r="Q28">
        <v>0</v>
      </c>
    </row>
    <row r="29" spans="3:17" x14ac:dyDescent="0.35">
      <c r="C29" s="6" t="s">
        <v>194</v>
      </c>
      <c r="D29" s="6" t="s">
        <v>195</v>
      </c>
      <c r="F29" s="12" t="s">
        <v>196</v>
      </c>
      <c r="G29" s="6" t="s">
        <v>197</v>
      </c>
      <c r="I29" s="4" t="s">
        <v>198</v>
      </c>
      <c r="K29" s="4" t="s">
        <v>199</v>
      </c>
      <c r="L29" s="6" t="s">
        <v>200</v>
      </c>
      <c r="M29" s="15"/>
      <c r="O29">
        <v>10</v>
      </c>
      <c r="P29" t="s">
        <v>201</v>
      </c>
      <c r="Q29">
        <v>0</v>
      </c>
    </row>
    <row r="30" spans="3:17" x14ac:dyDescent="0.35">
      <c r="C30" s="7" t="s">
        <v>202</v>
      </c>
      <c r="D30" s="6" t="s">
        <v>203</v>
      </c>
      <c r="F30" s="4" t="s">
        <v>204</v>
      </c>
      <c r="G30" s="6" t="s">
        <v>205</v>
      </c>
      <c r="I30" s="4" t="s">
        <v>206</v>
      </c>
      <c r="K30" s="6" t="s">
        <v>207</v>
      </c>
      <c r="L30" s="12" t="s">
        <v>208</v>
      </c>
      <c r="M30" s="15"/>
      <c r="O30">
        <v>11</v>
      </c>
      <c r="P30" t="s">
        <v>209</v>
      </c>
      <c r="Q30">
        <v>0</v>
      </c>
    </row>
    <row r="31" spans="3:17" x14ac:dyDescent="0.35">
      <c r="C31" s="7" t="s">
        <v>210</v>
      </c>
      <c r="D31" s="6" t="s">
        <v>211</v>
      </c>
      <c r="F31" s="6" t="s">
        <v>212</v>
      </c>
      <c r="G31" s="3" t="s">
        <v>213</v>
      </c>
      <c r="I31" s="3" t="s">
        <v>214</v>
      </c>
      <c r="K31" s="3" t="s">
        <v>215</v>
      </c>
      <c r="L31" s="6" t="s">
        <v>216</v>
      </c>
      <c r="M31" s="15"/>
      <c r="O31">
        <v>12</v>
      </c>
      <c r="P31" t="s">
        <v>15</v>
      </c>
      <c r="Q31">
        <v>0</v>
      </c>
    </row>
    <row r="32" spans="3:17" x14ac:dyDescent="0.35">
      <c r="C32" s="7" t="s">
        <v>217</v>
      </c>
      <c r="D32" s="6" t="s">
        <v>218</v>
      </c>
      <c r="F32" s="6" t="s">
        <v>219</v>
      </c>
      <c r="G32" s="6" t="s">
        <v>220</v>
      </c>
      <c r="I32" s="6" t="s">
        <v>221</v>
      </c>
      <c r="K32" s="4" t="s">
        <v>222</v>
      </c>
      <c r="L32" s="6" t="s">
        <v>223</v>
      </c>
      <c r="M32" s="15"/>
    </row>
    <row r="33" spans="3:13" x14ac:dyDescent="0.35">
      <c r="C33" s="4" t="s">
        <v>224</v>
      </c>
      <c r="D33" s="6" t="s">
        <v>225</v>
      </c>
      <c r="E33" s="16"/>
      <c r="F33" s="4" t="s">
        <v>226</v>
      </c>
      <c r="G33" s="6" t="s">
        <v>227</v>
      </c>
      <c r="I33" s="6" t="s">
        <v>228</v>
      </c>
      <c r="K33" s="6" t="s">
        <v>229</v>
      </c>
      <c r="L33" s="4" t="s">
        <v>230</v>
      </c>
      <c r="M33" s="15"/>
    </row>
    <row r="34" spans="3:13" x14ac:dyDescent="0.35">
      <c r="C34" s="6" t="s">
        <v>231</v>
      </c>
      <c r="D34" s="6" t="s">
        <v>232</v>
      </c>
      <c r="F34" s="6" t="s">
        <v>233</v>
      </c>
      <c r="G34" s="6" t="s">
        <v>234</v>
      </c>
      <c r="I34" s="6" t="s">
        <v>235</v>
      </c>
      <c r="K34" s="17" t="s">
        <v>236</v>
      </c>
      <c r="L34" s="4" t="s">
        <v>237</v>
      </c>
      <c r="M34" s="15"/>
    </row>
    <row r="35" spans="3:13" x14ac:dyDescent="0.35">
      <c r="C35" s="6" t="s">
        <v>238</v>
      </c>
      <c r="D35" s="3" t="s">
        <v>239</v>
      </c>
      <c r="F35" s="4" t="s">
        <v>240</v>
      </c>
      <c r="G35" s="6" t="s">
        <v>241</v>
      </c>
      <c r="I35" s="6" t="s">
        <v>242</v>
      </c>
      <c r="K35" s="6" t="s">
        <v>243</v>
      </c>
      <c r="L35" s="6" t="s">
        <v>244</v>
      </c>
      <c r="M35" s="15"/>
    </row>
    <row r="36" spans="3:13" x14ac:dyDescent="0.35">
      <c r="C36" s="6" t="s">
        <v>245</v>
      </c>
      <c r="D36" s="17" t="s">
        <v>246</v>
      </c>
      <c r="F36" s="6" t="s">
        <v>247</v>
      </c>
      <c r="G36" s="12" t="s">
        <v>248</v>
      </c>
      <c r="I36" s="6" t="s">
        <v>249</v>
      </c>
      <c r="K36" s="6" t="s">
        <v>250</v>
      </c>
      <c r="L36" s="4" t="s">
        <v>251</v>
      </c>
      <c r="M36" s="15"/>
    </row>
    <row r="37" spans="3:13" x14ac:dyDescent="0.35">
      <c r="C37" s="4" t="s">
        <v>252</v>
      </c>
      <c r="D37" s="6" t="s">
        <v>253</v>
      </c>
      <c r="F37" s="6" t="s">
        <v>254</v>
      </c>
      <c r="G37" s="13" t="s">
        <v>255</v>
      </c>
      <c r="I37" s="6" t="s">
        <v>256</v>
      </c>
      <c r="K37" s="17" t="s">
        <v>257</v>
      </c>
      <c r="M37" s="15"/>
    </row>
    <row r="38" spans="3:13" ht="16" x14ac:dyDescent="0.4">
      <c r="C38" s="6" t="s">
        <v>258</v>
      </c>
      <c r="D38" s="6" t="s">
        <v>259</v>
      </c>
      <c r="F38" s="6" t="s">
        <v>260</v>
      </c>
      <c r="G38" s="18" t="s">
        <v>261</v>
      </c>
      <c r="I38" s="6" t="s">
        <v>262</v>
      </c>
      <c r="K38" s="6" t="s">
        <v>263</v>
      </c>
      <c r="M38" s="15"/>
    </row>
    <row r="39" spans="3:13" x14ac:dyDescent="0.35">
      <c r="C39" s="4" t="s">
        <v>264</v>
      </c>
      <c r="D39" s="6" t="s">
        <v>265</v>
      </c>
      <c r="G39" s="6" t="s">
        <v>266</v>
      </c>
      <c r="I39" s="6" t="s">
        <v>267</v>
      </c>
      <c r="K39" s="6" t="s">
        <v>268</v>
      </c>
      <c r="M39" s="15"/>
    </row>
    <row r="40" spans="3:13" x14ac:dyDescent="0.35">
      <c r="C40" s="6"/>
      <c r="D40" s="6" t="s">
        <v>269</v>
      </c>
      <c r="G40" s="6" t="s">
        <v>270</v>
      </c>
      <c r="I40" s="6" t="s">
        <v>271</v>
      </c>
      <c r="K40" s="6" t="s">
        <v>272</v>
      </c>
    </row>
    <row r="41" spans="3:13" x14ac:dyDescent="0.35">
      <c r="C41" s="4" t="s">
        <v>273</v>
      </c>
      <c r="D41" s="6" t="s">
        <v>274</v>
      </c>
      <c r="G41" s="6" t="s">
        <v>275</v>
      </c>
      <c r="I41" s="6" t="s">
        <v>276</v>
      </c>
      <c r="K41" s="10" t="s">
        <v>277</v>
      </c>
    </row>
    <row r="42" spans="3:13" x14ac:dyDescent="0.35">
      <c r="C42" s="6"/>
      <c r="D42" s="6" t="s">
        <v>278</v>
      </c>
      <c r="G42" s="6" t="s">
        <v>279</v>
      </c>
      <c r="I42" s="6" t="s">
        <v>280</v>
      </c>
      <c r="K42" s="6" t="s">
        <v>281</v>
      </c>
    </row>
    <row r="43" spans="3:13" x14ac:dyDescent="0.35">
      <c r="C43" s="4" t="s">
        <v>282</v>
      </c>
      <c r="D43" s="6" t="s">
        <v>283</v>
      </c>
      <c r="G43" s="6" t="s">
        <v>284</v>
      </c>
      <c r="I43" s="6" t="s">
        <v>285</v>
      </c>
      <c r="K43" s="6" t="s">
        <v>286</v>
      </c>
    </row>
    <row r="44" spans="3:13" x14ac:dyDescent="0.35">
      <c r="C44" s="6" t="s">
        <v>287</v>
      </c>
      <c r="D44" s="6" t="s">
        <v>288</v>
      </c>
      <c r="I44" s="6" t="s">
        <v>289</v>
      </c>
      <c r="K44" s="4" t="s">
        <v>290</v>
      </c>
    </row>
    <row r="45" spans="3:13" x14ac:dyDescent="0.35">
      <c r="C45" s="19" t="s">
        <v>291</v>
      </c>
      <c r="I45" s="6" t="s">
        <v>292</v>
      </c>
      <c r="K45" s="6" t="s">
        <v>293</v>
      </c>
    </row>
    <row r="46" spans="3:13" x14ac:dyDescent="0.35">
      <c r="C46" s="4" t="s">
        <v>294</v>
      </c>
      <c r="I46" s="3" t="s">
        <v>295</v>
      </c>
      <c r="K46" s="4" t="s">
        <v>296</v>
      </c>
    </row>
    <row r="47" spans="3:13" x14ac:dyDescent="0.35">
      <c r="C47" s="6" t="s">
        <v>297</v>
      </c>
      <c r="I47" s="4" t="s">
        <v>298</v>
      </c>
      <c r="K47" s="6" t="s">
        <v>299</v>
      </c>
    </row>
    <row r="48" spans="3:13" x14ac:dyDescent="0.35">
      <c r="C48" s="6" t="s">
        <v>300</v>
      </c>
      <c r="I48" s="6" t="s">
        <v>301</v>
      </c>
      <c r="K48" s="4" t="s">
        <v>302</v>
      </c>
    </row>
    <row r="49" spans="3:11" x14ac:dyDescent="0.35">
      <c r="C49" s="6" t="s">
        <v>303</v>
      </c>
      <c r="I49" s="6" t="s">
        <v>304</v>
      </c>
      <c r="K49" s="13" t="s">
        <v>305</v>
      </c>
    </row>
    <row r="50" spans="3:11" x14ac:dyDescent="0.35">
      <c r="C50" s="6" t="s">
        <v>306</v>
      </c>
      <c r="I50" s="6" t="s">
        <v>307</v>
      </c>
      <c r="K50" s="4" t="s">
        <v>308</v>
      </c>
    </row>
    <row r="51" spans="3:11" x14ac:dyDescent="0.35">
      <c r="C51" s="6" t="s">
        <v>309</v>
      </c>
      <c r="K51" s="6" t="s">
        <v>310</v>
      </c>
    </row>
    <row r="52" spans="3:11" x14ac:dyDescent="0.35">
      <c r="C52" s="20" t="s">
        <v>311</v>
      </c>
      <c r="K52" s="12" t="s">
        <v>312</v>
      </c>
    </row>
    <row r="53" spans="3:11" ht="29" x14ac:dyDescent="0.35">
      <c r="C53" s="7" t="s">
        <v>313</v>
      </c>
      <c r="E53" s="21"/>
      <c r="I53" s="5"/>
      <c r="K53" s="17" t="s">
        <v>314</v>
      </c>
    </row>
    <row r="54" spans="3:11" x14ac:dyDescent="0.35">
      <c r="C54" s="10" t="s">
        <v>315</v>
      </c>
      <c r="K54" s="6" t="s">
        <v>316</v>
      </c>
    </row>
    <row r="55" spans="3:11" x14ac:dyDescent="0.35">
      <c r="C55" s="6" t="s">
        <v>317</v>
      </c>
      <c r="K55" s="4" t="s">
        <v>318</v>
      </c>
    </row>
    <row r="56" spans="3:11" x14ac:dyDescent="0.35">
      <c r="C56" s="4" t="s">
        <v>319</v>
      </c>
      <c r="K56" s="6" t="s">
        <v>320</v>
      </c>
    </row>
    <row r="57" spans="3:11" x14ac:dyDescent="0.35">
      <c r="C57" s="6" t="s">
        <v>321</v>
      </c>
      <c r="K57" s="6" t="s">
        <v>322</v>
      </c>
    </row>
    <row r="58" spans="3:11" x14ac:dyDescent="0.35">
      <c r="C58" s="6" t="s">
        <v>323</v>
      </c>
      <c r="K58" s="6" t="s">
        <v>324</v>
      </c>
    </row>
    <row r="59" spans="3:11" x14ac:dyDescent="0.35">
      <c r="C59" s="10" t="s">
        <v>325</v>
      </c>
      <c r="K59" s="6" t="s">
        <v>326</v>
      </c>
    </row>
    <row r="60" spans="3:11" x14ac:dyDescent="0.35">
      <c r="C60" s="6" t="s">
        <v>327</v>
      </c>
    </row>
    <row r="61" spans="3:11" x14ac:dyDescent="0.35">
      <c r="C61" s="20" t="s">
        <v>328</v>
      </c>
      <c r="E61" s="15"/>
    </row>
    <row r="62" spans="3:11" x14ac:dyDescent="0.35">
      <c r="C62" s="7" t="s">
        <v>329</v>
      </c>
    </row>
    <row r="63" spans="3:11" x14ac:dyDescent="0.35">
      <c r="C63" s="7" t="s">
        <v>330</v>
      </c>
      <c r="E63" s="15"/>
    </row>
    <row r="64" spans="3:11" x14ac:dyDescent="0.35">
      <c r="C64" s="6" t="s">
        <v>331</v>
      </c>
    </row>
    <row r="65" spans="3:5" x14ac:dyDescent="0.35">
      <c r="C65" s="4" t="s">
        <v>332</v>
      </c>
    </row>
    <row r="66" spans="3:5" x14ac:dyDescent="0.35">
      <c r="C66" s="6" t="s">
        <v>333</v>
      </c>
    </row>
    <row r="67" spans="3:5" x14ac:dyDescent="0.35">
      <c r="C67" s="6" t="s">
        <v>334</v>
      </c>
    </row>
    <row r="68" spans="3:5" x14ac:dyDescent="0.35">
      <c r="C68" s="6" t="s">
        <v>335</v>
      </c>
    </row>
    <row r="69" spans="3:5" x14ac:dyDescent="0.35">
      <c r="C69" s="6" t="s">
        <v>336</v>
      </c>
    </row>
    <row r="70" spans="3:5" x14ac:dyDescent="0.35">
      <c r="C70" s="6" t="s">
        <v>337</v>
      </c>
    </row>
    <row r="71" spans="3:5" x14ac:dyDescent="0.35">
      <c r="C71" s="6" t="s">
        <v>338</v>
      </c>
    </row>
    <row r="72" spans="3:5" x14ac:dyDescent="0.35">
      <c r="C72" s="6" t="s">
        <v>339</v>
      </c>
    </row>
    <row r="73" spans="3:5" x14ac:dyDescent="0.35">
      <c r="C73" s="4" t="s">
        <v>340</v>
      </c>
    </row>
    <row r="74" spans="3:5" x14ac:dyDescent="0.35">
      <c r="C74" s="6"/>
    </row>
    <row r="75" spans="3:5" x14ac:dyDescent="0.35">
      <c r="C75" s="4" t="s">
        <v>341</v>
      </c>
      <c r="E75" s="16"/>
    </row>
    <row r="76" spans="3:5" x14ac:dyDescent="0.35">
      <c r="C76" s="6" t="s">
        <v>342</v>
      </c>
    </row>
    <row r="77" spans="3:5" x14ac:dyDescent="0.35">
      <c r="C77" s="10" t="s">
        <v>343</v>
      </c>
    </row>
    <row r="78" spans="3:5" x14ac:dyDescent="0.35">
      <c r="C78" s="6" t="s">
        <v>344</v>
      </c>
    </row>
    <row r="79" spans="3:5" x14ac:dyDescent="0.35">
      <c r="C79" s="6" t="s">
        <v>345</v>
      </c>
    </row>
    <row r="80" spans="3:5" x14ac:dyDescent="0.35">
      <c r="C80" s="6" t="s">
        <v>346</v>
      </c>
    </row>
    <row r="81" spans="3:5" x14ac:dyDescent="0.35">
      <c r="C81" s="6" t="s">
        <v>347</v>
      </c>
    </row>
    <row r="82" spans="3:5" x14ac:dyDescent="0.35">
      <c r="C82" s="6" t="s">
        <v>348</v>
      </c>
    </row>
    <row r="83" spans="3:5" x14ac:dyDescent="0.35">
      <c r="C83" s="6" t="s">
        <v>349</v>
      </c>
    </row>
    <row r="84" spans="3:5" x14ac:dyDescent="0.35">
      <c r="C84" s="6" t="s">
        <v>350</v>
      </c>
      <c r="E84" s="16"/>
    </row>
    <row r="85" spans="3:5" x14ac:dyDescent="0.35">
      <c r="C85" s="6" t="s">
        <v>351</v>
      </c>
    </row>
    <row r="86" spans="3:5" x14ac:dyDescent="0.35">
      <c r="C86" s="6" t="s">
        <v>352</v>
      </c>
      <c r="E86" s="16"/>
    </row>
    <row r="87" spans="3:5" x14ac:dyDescent="0.35">
      <c r="C87" s="6" t="s">
        <v>353</v>
      </c>
    </row>
    <row r="88" spans="3:5" x14ac:dyDescent="0.35">
      <c r="C88" s="6" t="s">
        <v>354</v>
      </c>
    </row>
    <row r="89" spans="3:5" x14ac:dyDescent="0.35">
      <c r="C89" s="6" t="s">
        <v>355</v>
      </c>
    </row>
    <row r="90" spans="3:5" x14ac:dyDescent="0.35">
      <c r="C90" s="6" t="s">
        <v>356</v>
      </c>
    </row>
    <row r="91" spans="3:5" x14ac:dyDescent="0.35">
      <c r="C91" s="6" t="s">
        <v>357</v>
      </c>
    </row>
    <row r="92" spans="3:5" x14ac:dyDescent="0.35">
      <c r="C92" s="4" t="s">
        <v>358</v>
      </c>
    </row>
    <row r="93" spans="3:5" x14ac:dyDescent="0.35">
      <c r="C93" s="3" t="s">
        <v>359</v>
      </c>
      <c r="E93" s="22"/>
    </row>
    <row r="94" spans="3:5" x14ac:dyDescent="0.35">
      <c r="C94" s="4" t="s">
        <v>360</v>
      </c>
    </row>
    <row r="95" spans="3:5" x14ac:dyDescent="0.35">
      <c r="C95" s="4" t="s">
        <v>361</v>
      </c>
    </row>
    <row r="96" spans="3:5" x14ac:dyDescent="0.35">
      <c r="C96" s="6" t="s">
        <v>362</v>
      </c>
    </row>
    <row r="97" spans="3:3" x14ac:dyDescent="0.35">
      <c r="C97" s="10" t="s">
        <v>363</v>
      </c>
    </row>
    <row r="98" spans="3:3" x14ac:dyDescent="0.35">
      <c r="C98" s="6" t="s">
        <v>364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Karrer, Laura</dc:creator>
  <cp:lastModifiedBy>Karrer, Laura</cp:lastModifiedBy>
  <dcterms:created xsi:type="dcterms:W3CDTF">2026-07-30T09:09:53Z</dcterms:created>
  <dcterms:modified xsi:type="dcterms:W3CDTF">2026-07-30T12:41:51Z</dcterms:modified>
</cp:coreProperties>
</file>